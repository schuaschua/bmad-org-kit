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tables/table10.xml" ContentType="application/vnd.openxmlformats-officedocument.spreadsheetml.table+xml"/>
  <Override PartName="/xl/worksheets/sheet9.xml" ContentType="application/vnd.openxmlformats-officedocument.spreadsheetml.worksheet+xml"/>
  <Override PartName="/xl/tables/table11.xml" ContentType="application/vnd.openxmlformats-officedocument.spreadsheetml.table+xml"/>
  <Override PartName="/xl/worksheets/sheet10.xml" ContentType="application/vnd.openxmlformats-officedocument.spreadsheetml.worksheet+xml"/>
  <Override PartName="/xl/tables/table12.xml" ContentType="application/vnd.openxmlformats-officedocument.spreadsheetml.table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" sheetId="1" state="visible" r:id="rId1"/>
    <sheet name="Rate Card" sheetId="2" state="visible" r:id="rId2"/>
    <sheet name="Other Costs" sheetId="3" state="visible" r:id="rId3"/>
    <sheet name="Dev" sheetId="4" state="visible" r:id="rId4"/>
    <sheet name="Test" sheetId="5" state="visible" r:id="rId5"/>
    <sheet name="Prod" sheetId="6" state="visible" r:id="rId6"/>
    <sheet name="Claude Prices" sheetId="7" state="visible" r:id="rId7"/>
    <sheet name="Claude Usage Detail" sheetId="8" state="visible" r:id="rId8"/>
    <sheet name="Claude Usage" sheetId="9" state="visible" r:id="rId9"/>
    <sheet name="Project Timeline" sheetId="10" state="visible" r:id="rId10"/>
    <sheet name="Sources &amp; Gaps" sheetId="11" state="visible" r:id="rId11"/>
  </sheets>
  <definedNames>
    <definedName name="DeliveryDays">Overall!$B$5</definedName>
    <definedName name="WorkingDaysPerMonth">Overall!$B$6</definedName>
    <definedName name="DeliveryMonths">Overall!$B$7</definedName>
    <definedName name="HoursPerMonth">Overall!$B$8</definedName>
    <definedName name="RunMonths">Overall!$B$9</definedName>
    <definedName name="Contingency">Overall!$B$10</definedName>
    <definedName name="FxRate">Overall!$B$11</definedName>
    <definedName name="ClaudeFxRate">Overall!$B$12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00"/>
    <numFmt numFmtId="165" formatCode="#,##0.##"/>
    <numFmt numFmtId="166" formatCode="0.0"/>
    <numFmt numFmtId="167" formatCode="0.0000"/>
    <numFmt numFmtId="168" formatCode="yyyy-mm-dd h:mm:ss"/>
    <numFmt numFmtId="169" formatCode="yyyy-mm-dd hh:mm"/>
    <numFmt numFmtId="170" formatCode="yyyy-mm-dd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b val="1"/>
    </font>
    <font>
      <b val="1"/>
      <color rgb="001F4E78"/>
      <sz val="12"/>
    </font>
    <font>
      <color rgb="00008000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vertical="center" wrapText="1"/>
    </xf>
    <xf numFmtId="165" fontId="3" fillId="0" borderId="0" pivotButton="0" quotePrefix="0" xfId="0"/>
    <xf numFmtId="166" fontId="0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4" fontId="6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165" fontId="4" fillId="0" borderId="1" pivotButton="0" quotePrefix="0" xfId="0"/>
    <xf numFmtId="4" fontId="4" fillId="0" borderId="1" pivotButton="0" quotePrefix="0" xfId="0"/>
    <xf numFmtId="166" fontId="3" fillId="0" borderId="0" pivotButton="0" quotePrefix="0" xfId="0"/>
    <xf numFmtId="0" fontId="7" fillId="0" borderId="1" pivotButton="0" quotePrefix="0" xfId="0"/>
    <xf numFmtId="4" fontId="7" fillId="0" borderId="1" pivotButton="0" quotePrefix="0" xfId="0"/>
    <xf numFmtId="4" fontId="3" fillId="0" borderId="0" pivotButton="0" quotePrefix="0" xfId="0"/>
    <xf numFmtId="164" fontId="3" fillId="0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3" fontId="0" fillId="0" borderId="0" pivotButton="0" quotePrefix="0" xfId="0"/>
    <xf numFmtId="3" fontId="4" fillId="0" borderId="1" pivotButton="0" quotePrefix="0" xfId="0"/>
    <xf numFmtId="170" fontId="0" fillId="0" borderId="0" pivotButton="0" quotePrefix="0" xfId="0"/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blInputs" displayName="tblInputs" ref="A4:B12" headerRowCount="1">
  <autoFilter ref="A4:B12"/>
  <tableColumns count="2">
    <tableColumn id="1" name="Input"/>
    <tableColumn id="2" name="Value"/>
  </tableColumns>
  <tableStyleInfo name="TableStyleLight9" showRowStripes="1"/>
</table>
</file>

<file path=xl/tables/table2.xml><?xml version="1.0" encoding="utf-8"?>
<table xmlns="http://schemas.openxmlformats.org/spreadsheetml/2006/main" id="2" name="tblTeam" displayName="tblTeam" ref="A15:H24" headerRowCount="1">
  <autoFilter ref="A15:H24"/>
  <tableColumns count="8">
    <tableColumn id="1" name="Role"/>
    <tableColumn id="2" name="Day rate (USD)"/>
    <tableColumn id="3" name="Employees"/>
    <tableColumn id="4" name="Days on delivery"/>
    <tableColumn id="5" name="Allocation"/>
    <tableColumn id="6" name="Mandays"/>
    <tableColumn id="7" name="Cost (USD)"/>
    <tableColumn id="8" name="Cited from"/>
  </tableColumns>
  <tableStyleInfo name="TableStyleLight9" showRowStripes="1"/>
</table>
</file>

<file path=xl/tables/table3.xml><?xml version="1.0" encoding="utf-8"?>
<table xmlns="http://schemas.openxmlformats.org/spreadsheetml/2006/main" id="3" name="tblCostSummary" displayName="tblCostSummary" ref="A28:H33" headerRowCount="1">
  <autoFilter ref="A28:H33"/>
  <tableColumns count="8">
    <tableColumn id="1" name="Item"/>
    <tableColumn id="2" name="Monthly (USD)"/>
    <tableColumn id="3" name="Months in delivery"/>
    <tableColumn id="4" name="Delivery cost (USD)"/>
    <tableColumn id="5" name="Months in run"/>
    <tableColumn id="6" name="Run cost (USD)"/>
    <tableColumn id="7" name="Total (USD)"/>
    <tableColumn id="8" name="From"/>
  </tableColumns>
  <tableStyleInfo name="TableStyleLight9" showRowStripes="1"/>
</table>
</file>

<file path=xl/tables/table4.xml><?xml version="1.0" encoding="utf-8"?>
<table xmlns="http://schemas.openxmlformats.org/spreadsheetml/2006/main" id="4" name="tblRateCard" displayName="tblRateCard" ref="A4:C10" headerRowCount="1">
  <autoFilter ref="A4:C10"/>
  <tableColumns count="3">
    <tableColumn id="1" name="Role"/>
    <tableColumn id="2" name="Day rate (USD)"/>
    <tableColumn id="3" name="Note"/>
  </tableColumns>
  <tableStyleInfo name="TableStyleLight9" showRowStripes="1"/>
</table>
</file>

<file path=xl/tables/table5.xml><?xml version="1.0" encoding="utf-8"?>
<table xmlns="http://schemas.openxmlformats.org/spreadsheetml/2006/main" id="5" name="tblOtherCosts" displayName="tblOtherCosts" ref="A4:E9" headerRowCount="1">
  <autoFilter ref="A4:E9"/>
  <tableColumns count="5">
    <tableColumn id="1" name="#"/>
    <tableColumn id="2" name="Item"/>
    <tableColumn id="3" name="Amount (USD)"/>
    <tableColumn id="4" name="Cited from"/>
    <tableColumn id="5" name="Note"/>
  </tableColumns>
  <tableStyleInfo name="TableStyleLight9" showRowStripes="1"/>
</table>
</file>

<file path=xl/tables/table6.xml><?xml version="1.0" encoding="utf-8"?>
<table xmlns="http://schemas.openxmlformats.org/spreadsheetml/2006/main" id="6" name="tblEnvDev" displayName="tblEnvDev" ref="A4:N12" headerRowCount="1">
  <autoFilter ref="A4:N12"/>
  <tableColumns count="14">
    <tableColumn id="1" name="#"/>
    <tableColumn id="2" name="Component"/>
    <tableColumn id="3" name="Azure service"/>
    <tableColumn id="4" name="SKU / tier"/>
    <tableColumn id="5" name="Unit"/>
    <tableColumn id="6" name="Unit price (USD)"/>
    <tableColumn id="7" name="Quantity"/>
    <tableColumn id="8" name="Usage per month"/>
    <tableColumn id="9" name="Monthly cost (USD)"/>
    <tableColumn id="10" name="Annual cost (USD)"/>
    <tableColumn id="11" name="Cited from"/>
    <tableColumn id="12" name="Price source"/>
    <tableColumn id="13" name="Note"/>
    <tableColumn id="14" name="Environment"/>
  </tableColumns>
  <tableStyleInfo name="TableStyleLight9" showRowStripes="1"/>
</table>
</file>

<file path=xl/tables/table7.xml><?xml version="1.0" encoding="utf-8"?>
<table xmlns="http://schemas.openxmlformats.org/spreadsheetml/2006/main" id="7" name="tblEnvTest" displayName="tblEnvTest" ref="A4:N13" headerRowCount="1">
  <autoFilter ref="A4:N13"/>
  <tableColumns count="14">
    <tableColumn id="1" name="#"/>
    <tableColumn id="2" name="Component"/>
    <tableColumn id="3" name="Azure service"/>
    <tableColumn id="4" name="SKU / tier"/>
    <tableColumn id="5" name="Unit"/>
    <tableColumn id="6" name="Unit price (USD)"/>
    <tableColumn id="7" name="Quantity"/>
    <tableColumn id="8" name="Usage per month"/>
    <tableColumn id="9" name="Monthly cost (USD)"/>
    <tableColumn id="10" name="Annual cost (USD)"/>
    <tableColumn id="11" name="Cited from"/>
    <tableColumn id="12" name="Price source"/>
    <tableColumn id="13" name="Note"/>
    <tableColumn id="14" name="Environment"/>
  </tableColumns>
  <tableStyleInfo name="TableStyleLight9" showRowStripes="1"/>
</table>
</file>

<file path=xl/tables/table8.xml><?xml version="1.0" encoding="utf-8"?>
<table xmlns="http://schemas.openxmlformats.org/spreadsheetml/2006/main" id="8" name="tblEnvProd" displayName="tblEnvProd" ref="A4:N13" headerRowCount="1">
  <autoFilter ref="A4:N13"/>
  <tableColumns count="14">
    <tableColumn id="1" name="#"/>
    <tableColumn id="2" name="Component"/>
    <tableColumn id="3" name="Azure service"/>
    <tableColumn id="4" name="SKU / tier"/>
    <tableColumn id="5" name="Unit"/>
    <tableColumn id="6" name="Unit price (USD)"/>
    <tableColumn id="7" name="Quantity"/>
    <tableColumn id="8" name="Usage per month"/>
    <tableColumn id="9" name="Monthly cost (USD)"/>
    <tableColumn id="10" name="Annual cost (USD)"/>
    <tableColumn id="11" name="Cited from"/>
    <tableColumn id="12" name="Price source"/>
    <tableColumn id="13" name="Note"/>
    <tableColumn id="14" name="Environment"/>
  </tableColumns>
  <tableStyleInfo name="TableStyleLight9" showRowStripes="1"/>
</table>
</file>

<file path=xl/tables/table9.xml><?xml version="1.0" encoding="utf-8"?>
<table xmlns="http://schemas.openxmlformats.org/spreadsheetml/2006/main" id="9" name="tblClaudePrices" displayName="tblClaudePrices" ref="A4:G22" headerRowCount="1">
  <autoFilter ref="A4:G22"/>
  <tableColumns count="7">
    <tableColumn id="1" name="Pricing model"/>
    <tableColumn id="2" name="Name"/>
    <tableColumn id="3" name="Input"/>
    <tableColumn id="4" name="Cache write 5m"/>
    <tableColumn id="5" name="Cache write 1h"/>
    <tableColumn id="6" name="Cache read"/>
    <tableColumn id="7" name="Output"/>
  </tableColumns>
  <tableStyleInfo name="TableStyleLight9" showRowStripes="1"/>
</table>
</file>

<file path=xl/tables/table10.xml><?xml version="1.0" encoding="utf-8"?>
<table xmlns="http://schemas.openxmlformats.org/spreadsheetml/2006/main" id="10" name="tblClaudeUsageDetail" displayName="tblClaudeUsageDetail" ref="A4:P19" headerRowCount="1">
  <autoFilter ref="A4:P19"/>
  <tableColumns count="16">
    <tableColumn id="1" name="Kind"/>
    <tableColumn id="2" name="Work item"/>
    <tableColumn id="3" name="Story no"/>
    <tableColumn id="4" name="Title"/>
    <tableColumn id="5" name="Model"/>
    <tableColumn id="6" name="Pricing model"/>
    <tableColumn id="7" name="First call"/>
    <tableColumn id="8" name="Last call"/>
    <tableColumn id="9" name="Calls"/>
    <tableColumn id="10" name="Input tokens"/>
    <tableColumn id="11" name="Cache write 5m tokens"/>
    <tableColumn id="12" name="Cache write 1h tokens"/>
    <tableColumn id="13" name="Cache read tokens"/>
    <tableColumn id="14" name="Output tokens"/>
    <tableColumn id="15" name="Cost (USD)"/>
    <tableColumn id="16" name="Cost (USD)"/>
  </tableColumns>
  <tableStyleInfo name="TableStyleLight9" showRowStripes="1"/>
</table>
</file>

<file path=xl/tables/table11.xml><?xml version="1.0" encoding="utf-8"?>
<table xmlns="http://schemas.openxmlformats.org/spreadsheetml/2006/main" id="11" name="tblClaudeUsage" displayName="tblClaudeUsage" ref="A4:I7" headerRowCount="1">
  <autoFilter ref="A4:I7"/>
  <tableColumns count="9">
    <tableColumn id="1" name="Model"/>
    <tableColumn id="2" name="Calls"/>
    <tableColumn id="3" name="Input tokens"/>
    <tableColumn id="4" name="Cache write 5m tokens"/>
    <tableColumn id="5" name="Cache write 1h tokens"/>
    <tableColumn id="6" name="Cache read tokens"/>
    <tableColumn id="7" name="Output tokens"/>
    <tableColumn id="8" name="Cost (USD)"/>
    <tableColumn id="9" name="Cost (USD)"/>
  </tableColumns>
  <tableStyleInfo name="TableStyleLight9" showRowStripes="1"/>
</table>
</file>

<file path=xl/tables/table12.xml><?xml version="1.0" encoding="utf-8"?>
<table xmlns="http://schemas.openxmlformats.org/spreadsheetml/2006/main" id="12" name="tblTimeline" displayName="tblTimeline" ref="A4:H20" headerRowCount="1">
  <autoFilter ref="A4:H20"/>
  <tableColumns count="8">
    <tableColumn id="1" name="Category"/>
    <tableColumn id="2" name="Name"/>
    <tableColumn id="3" name="Detail"/>
    <tableColumn id="4" name="Status"/>
    <tableColumn id="5" name="Started"/>
    <tableColumn id="6" name="Completed"/>
    <tableColumn id="7" name="Days"/>
    <tableColumn id="8" name="Sourc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  <col width="44" customWidth="1" min="8" max="8"/>
  </cols>
  <sheetData>
    <row r="1">
      <c r="A1" s="1" t="inlineStr">
        <is>
          <t>Falcon Portal cost estimate (synthetic sample)</t>
        </is>
      </c>
    </row>
    <row r="2">
      <c r="A2" t="inlineStr">
        <is>
          <t>All costs in USD. Cloud: Azure retail list prices in uaenorth fetched 2026-09-28, no discounts or reservations. Blue cells are inputs; black cells are formulas; green cells link to other sheets.</t>
        </is>
      </c>
    </row>
    <row r="3">
      <c r="A3" s="2" t="inlineStr">
        <is>
          <t>Inputs</t>
        </is>
      </c>
    </row>
    <row r="4">
      <c r="A4" s="3" t="inlineStr">
        <is>
          <t>Input</t>
        </is>
      </c>
      <c r="B4" s="3" t="inlineStr">
        <is>
          <t>Value</t>
        </is>
      </c>
    </row>
    <row r="5">
      <c r="A5" t="inlineStr">
        <is>
          <t>Days of delivery (working days)</t>
        </is>
      </c>
      <c r="B5" s="4" t="n">
        <v>84</v>
      </c>
    </row>
    <row r="6">
      <c r="A6" t="inlineStr">
        <is>
          <t>Working days per month</t>
        </is>
      </c>
      <c r="B6" s="4" t="n">
        <v>21</v>
      </c>
    </row>
    <row r="7">
      <c r="A7" t="inlineStr">
        <is>
          <t>Months of delivery</t>
        </is>
      </c>
      <c r="B7" s="5">
        <f>DeliveryDays/WorkingDaysPerMonth</f>
        <v/>
      </c>
    </row>
    <row r="8">
      <c r="A8" t="inlineStr">
        <is>
          <t>Hours per month (always-on services)</t>
        </is>
      </c>
      <c r="B8" s="4" t="n">
        <v>730</v>
      </c>
    </row>
    <row r="9">
      <c r="A9" t="inlineStr">
        <is>
          <t>Months of run after go-live</t>
        </is>
      </c>
      <c r="B9" s="4" t="n">
        <v>12</v>
      </c>
    </row>
    <row r="10">
      <c r="A10" t="inlineStr">
        <is>
          <t>Contingency</t>
        </is>
      </c>
      <c r="B10" s="6" t="n">
        <v>0.1</v>
      </c>
    </row>
    <row r="11">
      <c r="A11" t="inlineStr">
        <is>
          <t>Exchange rate (1 USD = x USD)</t>
        </is>
      </c>
      <c r="B11" s="7" t="n">
        <v>1</v>
      </c>
    </row>
    <row r="12">
      <c r="A12" t="inlineStr">
        <is>
          <t>Exchange rate for Claude prices (1 USD = x USD)</t>
        </is>
      </c>
      <c r="B12" s="7" t="n">
        <v>1</v>
      </c>
    </row>
    <row r="14">
      <c r="A14" s="2" t="inlineStr">
        <is>
          <t>Delivery team</t>
        </is>
      </c>
    </row>
    <row r="15">
      <c r="A15" s="3" t="inlineStr">
        <is>
          <t>Role</t>
        </is>
      </c>
      <c r="B15" s="3" t="inlineStr">
        <is>
          <t>Day rate (USD)</t>
        </is>
      </c>
      <c r="C15" s="3" t="inlineStr">
        <is>
          <t>Employees</t>
        </is>
      </c>
      <c r="D15" s="3" t="inlineStr">
        <is>
          <t>Days on delivery</t>
        </is>
      </c>
      <c r="E15" s="3" t="inlineStr">
        <is>
          <t>Allocation</t>
        </is>
      </c>
      <c r="F15" s="3" t="inlineStr">
        <is>
          <t>Mandays</t>
        </is>
      </c>
      <c r="G15" s="3" t="inlineStr">
        <is>
          <t>Cost (USD)</t>
        </is>
      </c>
      <c r="H15" s="3" t="inlineStr">
        <is>
          <t>Cited from</t>
        </is>
      </c>
    </row>
    <row r="16">
      <c r="A16" t="inlineStr">
        <is>
          <t>Project Manager</t>
        </is>
      </c>
      <c r="B16" s="8">
        <f>VLOOKUP(A16,'Rate Card'!$A$5:$B$50,2,FALSE)</f>
        <v/>
      </c>
      <c r="C16" s="4" t="n">
        <v>1</v>
      </c>
      <c r="D16" s="9">
        <f>DeliveryDays</f>
        <v/>
      </c>
      <c r="E16" s="6" t="n">
        <v>0.5</v>
      </c>
      <c r="F16" s="9">
        <f>C16*D16*E16</f>
        <v/>
      </c>
      <c r="G16" s="10">
        <f>F16*B16</f>
        <v/>
      </c>
      <c r="H16" t="inlineStr">
        <is>
          <t>owner: Delivery Manager, 2026-09-28</t>
        </is>
      </c>
    </row>
    <row r="17">
      <c r="A17" t="inlineStr">
        <is>
          <t>Solution Architect</t>
        </is>
      </c>
      <c r="B17" s="8">
        <f>VLOOKUP(A17,'Rate Card'!$A$5:$B$50,2,FALSE)</f>
        <v/>
      </c>
      <c r="C17" s="4" t="n">
        <v>1</v>
      </c>
      <c r="D17" s="4" t="n">
        <v>20</v>
      </c>
      <c r="E17" s="6" t="n">
        <v>1</v>
      </c>
      <c r="F17" s="9">
        <f>C17*D17*E17</f>
        <v/>
      </c>
      <c r="G17" s="10">
        <f>F17*B17</f>
        <v/>
      </c>
      <c r="H17" t="inlineStr">
        <is>
          <t>owner: Delivery Manager, 2026-09-28</t>
        </is>
      </c>
    </row>
    <row r="18">
      <c r="A18" t="inlineStr">
        <is>
          <t>Tech Lead</t>
        </is>
      </c>
      <c r="B18" s="8">
        <f>VLOOKUP(A18,'Rate Card'!$A$5:$B$50,2,FALSE)</f>
        <v/>
      </c>
      <c r="C18" s="4" t="n">
        <v>1</v>
      </c>
      <c r="D18" s="9">
        <f>DeliveryDays</f>
        <v/>
      </c>
      <c r="E18" s="6" t="n">
        <v>1</v>
      </c>
      <c r="F18" s="9">
        <f>C18*D18*E18</f>
        <v/>
      </c>
      <c r="G18" s="10">
        <f>F18*B18</f>
        <v/>
      </c>
      <c r="H18" t="inlineStr">
        <is>
          <t>_bmad-output/planning-artifacts/architecture/falcon/ARCHITECTURE-SPINE.md AD-1</t>
        </is>
      </c>
    </row>
    <row r="19">
      <c r="A19" t="inlineStr">
        <is>
          <t>Developer</t>
        </is>
      </c>
      <c r="B19" s="8">
        <f>VLOOKUP(A19,'Rate Card'!$A$5:$B$50,2,FALSE)</f>
        <v/>
      </c>
      <c r="C19" s="4" t="n">
        <v>3</v>
      </c>
      <c r="D19" s="9">
        <f>DeliveryDays</f>
        <v/>
      </c>
      <c r="E19" s="6" t="n">
        <v>1</v>
      </c>
      <c r="F19" s="9">
        <f>C19*D19*E19</f>
        <v/>
      </c>
      <c r="G19" s="10">
        <f>F19*B19</f>
        <v/>
      </c>
      <c r="H19" t="inlineStr">
        <is>
          <t>_bmad-output/specs/SPEC.md 3 Users</t>
        </is>
      </c>
    </row>
    <row r="20">
      <c r="A20" t="inlineStr">
        <is>
          <t>QA Engineer</t>
        </is>
      </c>
      <c r="B20" s="8">
        <f>VLOOKUP(A20,'Rate Card'!$A$5:$B$50,2,FALSE)</f>
        <v/>
      </c>
      <c r="C20" s="4" t="n">
        <v>1</v>
      </c>
      <c r="D20" s="9">
        <f>DeliveryDays</f>
        <v/>
      </c>
      <c r="E20" s="6" t="n">
        <v>1</v>
      </c>
      <c r="F20" s="9">
        <f>C20*D20*E20</f>
        <v/>
      </c>
      <c r="G20" s="10">
        <f>F20*B20</f>
        <v/>
      </c>
      <c r="H20" t="inlineStr">
        <is>
          <t>owner: Delivery Manager, 2026-09-28</t>
        </is>
      </c>
    </row>
    <row r="21">
      <c r="A21" t="inlineStr">
        <is>
          <t>DevOps Engineer</t>
        </is>
      </c>
      <c r="B21" s="8">
        <f>VLOOKUP(A21,'Rate Card'!$A$5:$B$50,2,FALSE)</f>
        <v/>
      </c>
      <c r="C21" s="4" t="n">
        <v>1</v>
      </c>
      <c r="D21" s="9">
        <f>DeliveryDays</f>
        <v/>
      </c>
      <c r="E21" s="6" t="n">
        <v>0.5</v>
      </c>
      <c r="F21" s="9">
        <f>C21*D21*E21</f>
        <v/>
      </c>
      <c r="G21" s="10">
        <f>F21*B21</f>
        <v/>
      </c>
      <c r="H21" t="inlineStr">
        <is>
          <t>_bmad-output/planning-artifacts/architecture/falcon/ARCHITECTURE-SPINE.md AD-1</t>
        </is>
      </c>
    </row>
    <row r="22">
      <c r="B22" s="8">
        <f>IF(A22="","",VLOOKUP(A22,'Rate Card'!$A$5:$B$50,2,FALSE))</f>
        <v/>
      </c>
      <c r="C22" s="11" t="n"/>
      <c r="D22" s="11" t="n"/>
      <c r="E22" s="6" t="n"/>
      <c r="F22" s="9">
        <f>IF(A22="","",C22*D22*E22)</f>
        <v/>
      </c>
      <c r="G22" s="10">
        <f>IF(A22="","",F22*B22)</f>
        <v/>
      </c>
    </row>
    <row r="23">
      <c r="B23" s="8">
        <f>IF(A23="","",VLOOKUP(A23,'Rate Card'!$A$5:$B$50,2,FALSE))</f>
        <v/>
      </c>
      <c r="C23" s="11" t="n"/>
      <c r="D23" s="11" t="n"/>
      <c r="E23" s="6" t="n"/>
      <c r="F23" s="9">
        <f>IF(A23="","",C23*D23*E23)</f>
        <v/>
      </c>
      <c r="G23" s="10">
        <f>IF(A23="","",F23*B23)</f>
        <v/>
      </c>
    </row>
    <row r="24">
      <c r="B24" s="8">
        <f>IF(A24="","",VLOOKUP(A24,'Rate Card'!$A$5:$B$50,2,FALSE))</f>
        <v/>
      </c>
      <c r="C24" s="11" t="n"/>
      <c r="D24" s="11" t="n"/>
      <c r="E24" s="6" t="n"/>
      <c r="F24" s="9">
        <f>IF(A24="","",C24*D24*E24)</f>
        <v/>
      </c>
      <c r="G24" s="10">
        <f>IF(A24="","",F24*B24)</f>
        <v/>
      </c>
    </row>
    <row r="25">
      <c r="A25" s="12" t="inlineStr">
        <is>
          <t>Total</t>
        </is>
      </c>
      <c r="B25" s="12" t="n"/>
      <c r="C25" s="13">
        <f>SUM(C16:C24)</f>
        <v/>
      </c>
      <c r="D25" s="12" t="n"/>
      <c r="E25" s="12" t="n"/>
      <c r="F25" s="13">
        <f>SUM(F16:F24)</f>
        <v/>
      </c>
      <c r="G25" s="14">
        <f>SUM(G16:G24)</f>
        <v/>
      </c>
      <c r="H25" s="12" t="n"/>
    </row>
    <row r="27">
      <c r="A27" s="2" t="inlineStr">
        <is>
          <t>Cost summary</t>
        </is>
      </c>
    </row>
    <row r="28">
      <c r="A28" s="3" t="inlineStr">
        <is>
          <t>Item</t>
        </is>
      </c>
      <c r="B28" s="3" t="inlineStr">
        <is>
          <t>Monthly (USD)</t>
        </is>
      </c>
      <c r="C28" s="3" t="inlineStr">
        <is>
          <t>Months in delivery</t>
        </is>
      </c>
      <c r="D28" s="3" t="inlineStr">
        <is>
          <t>Delivery cost (USD)</t>
        </is>
      </c>
      <c r="E28" s="3" t="inlineStr">
        <is>
          <t>Months in run</t>
        </is>
      </c>
      <c r="F28" s="3" t="inlineStr">
        <is>
          <t>Run cost (USD)</t>
        </is>
      </c>
      <c r="G28" s="3" t="inlineStr">
        <is>
          <t>Total (USD)</t>
        </is>
      </c>
      <c r="H28" s="3" t="inlineStr">
        <is>
          <t>From</t>
        </is>
      </c>
    </row>
    <row r="29">
      <c r="A29" t="inlineStr">
        <is>
          <t>Dev environment</t>
        </is>
      </c>
      <c r="B29" s="8">
        <f>'Dev'!$I$13</f>
        <v/>
      </c>
      <c r="C29" s="5">
        <f>DeliveryMonths</f>
        <v/>
      </c>
      <c r="D29" s="10">
        <f>B29*C29</f>
        <v/>
      </c>
      <c r="E29" s="5">
        <f>RunMonths</f>
        <v/>
      </c>
      <c r="F29" s="10">
        <f>B29*E29</f>
        <v/>
      </c>
      <c r="G29" s="10">
        <f>D29+F29</f>
        <v/>
      </c>
      <c r="H29" t="inlineStr">
        <is>
          <t>Dev sheet</t>
        </is>
      </c>
    </row>
    <row r="30">
      <c r="A30" t="inlineStr">
        <is>
          <t>Test environment</t>
        </is>
      </c>
      <c r="B30" s="8">
        <f>'Test'!$I$14</f>
        <v/>
      </c>
      <c r="C30" s="15" t="n">
        <v>2</v>
      </c>
      <c r="D30" s="10">
        <f>B30*C30</f>
        <v/>
      </c>
      <c r="E30" s="5">
        <f>RunMonths</f>
        <v/>
      </c>
      <c r="F30" s="10">
        <f>B30*E30</f>
        <v/>
      </c>
      <c r="G30" s="10">
        <f>D30+F30</f>
        <v/>
      </c>
      <c r="H30" t="inlineStr">
        <is>
          <t>Test sheet</t>
        </is>
      </c>
    </row>
    <row r="31">
      <c r="A31" t="inlineStr">
        <is>
          <t>Prod environment</t>
        </is>
      </c>
      <c r="B31" s="8">
        <f>'Prod'!$I$14</f>
        <v/>
      </c>
      <c r="C31" s="15" t="n">
        <v>1</v>
      </c>
      <c r="D31" s="10">
        <f>B31*C31</f>
        <v/>
      </c>
      <c r="E31" s="5">
        <f>RunMonths</f>
        <v/>
      </c>
      <c r="F31" s="10">
        <f>B31*E31</f>
        <v/>
      </c>
      <c r="G31" s="10">
        <f>D31+F31</f>
        <v/>
      </c>
      <c r="H31" t="inlineStr">
        <is>
          <t>Prod sheet</t>
        </is>
      </c>
    </row>
    <row r="32">
      <c r="A32" t="inlineStr">
        <is>
          <t>Delivery team</t>
        </is>
      </c>
      <c r="D32" s="8">
        <f>G25</f>
        <v/>
      </c>
      <c r="G32" s="10">
        <f>D32+F32</f>
        <v/>
      </c>
      <c r="H32" t="inlineStr">
        <is>
          <t>Delivery team table above</t>
        </is>
      </c>
    </row>
    <row r="33">
      <c r="A33" t="inlineStr">
        <is>
          <t>Other one-off costs</t>
        </is>
      </c>
      <c r="D33" s="8">
        <f>'Other Costs'!$C$10</f>
        <v/>
      </c>
      <c r="G33" s="10">
        <f>D33+F33</f>
        <v/>
      </c>
      <c r="H33" t="inlineStr">
        <is>
          <t>Other Costs sheet</t>
        </is>
      </c>
    </row>
    <row r="34">
      <c r="A34" s="12" t="inlineStr">
        <is>
          <t>Subtotal</t>
        </is>
      </c>
      <c r="B34" s="12" t="n"/>
      <c r="C34" s="12" t="n"/>
      <c r="D34" s="14">
        <f>SUM(D29:D33)</f>
        <v/>
      </c>
      <c r="E34" s="12" t="n"/>
      <c r="F34" s="14">
        <f>SUM(F29:F33)</f>
        <v/>
      </c>
      <c r="G34" s="14">
        <f>SUM(G29:G33)</f>
        <v/>
      </c>
      <c r="H34" s="12" t="n"/>
    </row>
    <row r="35">
      <c r="A35" t="inlineStr">
        <is>
          <t>Contingency</t>
        </is>
      </c>
      <c r="D35" s="10">
        <f>D34*Contingency</f>
        <v/>
      </c>
      <c r="F35" s="10">
        <f>F34*Contingency</f>
        <v/>
      </c>
      <c r="G35" s="10">
        <f>D35+F35</f>
        <v/>
      </c>
    </row>
    <row r="36">
      <c r="A36" s="16" t="inlineStr">
        <is>
          <t>Grand total</t>
        </is>
      </c>
      <c r="B36" s="12" t="n"/>
      <c r="C36" s="12" t="n"/>
      <c r="D36" s="17">
        <f>D34+D35</f>
        <v/>
      </c>
      <c r="E36" s="12" t="n"/>
      <c r="F36" s="17">
        <f>F34+F35</f>
        <v/>
      </c>
      <c r="G36" s="17">
        <f>G34+G35</f>
        <v/>
      </c>
      <c r="H36" s="12" t="n"/>
    </row>
    <row r="38">
      <c r="A38" t="inlineStr">
        <is>
          <t>Memo: Claude API usage at API list prices (not in the totals: Claude Code was on a subscription)</t>
        </is>
      </c>
      <c r="D38" s="8">
        <f>'Claude Usage'!$I$8</f>
        <v/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50" customWidth="1" min="3" max="3"/>
  </cols>
  <sheetData>
    <row r="1">
      <c r="A1" s="1" t="inlineStr">
        <is>
          <t>Employee rate card</t>
        </is>
      </c>
    </row>
    <row r="2">
      <c r="A2" t="inlineStr">
        <is>
          <t>Day rates in USD. Source: Synthetic sample rates, not a real rate card; updated 2026-09-28. Blue cells are inputs; the Overall team table looks roles up here.</t>
        </is>
      </c>
    </row>
    <row r="4">
      <c r="A4" s="3" t="inlineStr">
        <is>
          <t>Role</t>
        </is>
      </c>
      <c r="B4" s="3" t="inlineStr">
        <is>
          <t>Day rate (USD)</t>
        </is>
      </c>
      <c r="C4" s="3" t="inlineStr">
        <is>
          <t>Note</t>
        </is>
      </c>
    </row>
    <row r="5">
      <c r="A5" t="inlineStr">
        <is>
          <t>Project Manager</t>
        </is>
      </c>
      <c r="B5" s="18" t="n">
        <v>760</v>
      </c>
      <c r="C5" t="inlineStr"/>
    </row>
    <row r="6">
      <c r="A6" t="inlineStr">
        <is>
          <t>Solution Architect</t>
        </is>
      </c>
      <c r="B6" s="18" t="n">
        <v>950</v>
      </c>
      <c r="C6" t="inlineStr"/>
    </row>
    <row r="7">
      <c r="A7" t="inlineStr">
        <is>
          <t>Tech Lead</t>
        </is>
      </c>
      <c r="B7" s="18" t="n">
        <v>870</v>
      </c>
      <c r="C7" t="inlineStr"/>
    </row>
    <row r="8">
      <c r="A8" t="inlineStr">
        <is>
          <t>Developer</t>
        </is>
      </c>
      <c r="B8" s="18" t="n">
        <v>650</v>
      </c>
      <c r="C8" t="inlineStr"/>
    </row>
    <row r="9">
      <c r="A9" t="inlineStr">
        <is>
          <t>QA Engineer</t>
        </is>
      </c>
      <c r="B9" s="18" t="n">
        <v>545</v>
      </c>
      <c r="C9" t="inlineStr"/>
    </row>
    <row r="10">
      <c r="A10" t="inlineStr">
        <is>
          <t>DevOps Engineer</t>
        </is>
      </c>
      <c r="B10" s="18" t="n">
        <v>710</v>
      </c>
      <c r="C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44" customWidth="1" min="4" max="4"/>
    <col width="30" customWidth="1" min="5" max="5"/>
  </cols>
  <sheetData>
    <row r="1">
      <c r="A1" s="1" t="inlineStr">
        <is>
          <t>Other one-off costs</t>
        </is>
      </c>
    </row>
    <row r="2">
      <c r="A2" t="inlineStr">
        <is>
          <t>Licences, tests, training and other costs outside the environments and the team, in USD.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Amount (USD)</t>
        </is>
      </c>
      <c r="D4" s="3" t="inlineStr">
        <is>
          <t>Cited from</t>
        </is>
      </c>
      <c r="E4" s="3" t="inlineStr">
        <is>
          <t>Note</t>
        </is>
      </c>
    </row>
    <row r="5">
      <c r="A5" t="n">
        <v>1</v>
      </c>
      <c r="B5" t="inlineStr">
        <is>
          <t>Penetration test</t>
        </is>
      </c>
      <c r="C5" s="18" t="n">
        <v>12000</v>
      </c>
      <c r="D5" t="inlineStr">
        <is>
          <t>owner: Security Lead, 2026-09-28</t>
        </is>
      </c>
      <c r="E5" t="inlineStr"/>
    </row>
    <row r="6">
      <c r="A6" t="n">
        <v>2</v>
      </c>
      <c r="B6" t="inlineStr">
        <is>
          <t>GitHub Enterprise seats (12 months)</t>
        </is>
      </c>
      <c r="C6" s="18" t="n">
        <v>8700</v>
      </c>
      <c r="D6" t="inlineStr">
        <is>
          <t>assumption: 7 seats at list price</t>
        </is>
      </c>
      <c r="E6" t="inlineStr"/>
    </row>
    <row r="7">
      <c r="C7" s="11" t="n"/>
    </row>
    <row r="8">
      <c r="C8" s="11" t="n"/>
    </row>
    <row r="9">
      <c r="C9" s="11" t="n"/>
    </row>
    <row r="10">
      <c r="A10" s="12" t="inlineStr">
        <is>
          <t>Total</t>
        </is>
      </c>
      <c r="B10" s="12" t="n"/>
      <c r="C10" s="14">
        <f>SUM(C5:C9)</f>
        <v/>
      </c>
      <c r="D10" s="12" t="n"/>
      <c r="E10" s="1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24" customWidth="1" min="4" max="4"/>
    <col width="12" customWidth="1" min="5" max="5"/>
    <col width="14" customWidth="1" min="6" max="6"/>
    <col width="10" customWidth="1" min="7" max="7"/>
    <col width="12" customWidth="1" min="8" max="8"/>
    <col width="16" customWidth="1" min="9" max="9"/>
    <col width="16" customWidth="1" min="10" max="10"/>
    <col width="40" customWidth="1" min="11" max="11"/>
    <col width="48" customWidth="1" min="12" max="12"/>
    <col width="30" customWidth="1" min="13" max="13"/>
    <col width="14" customWidth="1" min="14" max="14"/>
  </cols>
  <sheetData>
    <row r="1">
      <c r="A1" s="1" t="inlineStr">
        <is>
          <t>Dev environment</t>
        </is>
      </c>
    </row>
    <row r="2">
      <c r="A2" t="inlineStr">
        <is>
          <t>Azure retail list prices (pay-as-you-go) in uaenorth, USD, fetched 2026-09-28. Blue cells are inputs.</t>
        </is>
      </c>
    </row>
    <row r="4">
      <c r="A4" s="3" t="inlineStr">
        <is>
          <t>#</t>
        </is>
      </c>
      <c r="B4" s="3" t="inlineStr">
        <is>
          <t>Component</t>
        </is>
      </c>
      <c r="C4" s="3" t="inlineStr">
        <is>
          <t>Azure service</t>
        </is>
      </c>
      <c r="D4" s="3" t="inlineStr">
        <is>
          <t>SKU / tier</t>
        </is>
      </c>
      <c r="E4" s="3" t="inlineStr">
        <is>
          <t>Unit</t>
        </is>
      </c>
      <c r="F4" s="3" t="inlineStr">
        <is>
          <t>Unit price (USD)</t>
        </is>
      </c>
      <c r="G4" s="3" t="inlineStr">
        <is>
          <t>Quantity</t>
        </is>
      </c>
      <c r="H4" s="3" t="inlineStr">
        <is>
          <t>Usage per month</t>
        </is>
      </c>
      <c r="I4" s="3" t="inlineStr">
        <is>
          <t>Monthly cost (USD)</t>
        </is>
      </c>
      <c r="J4" s="3" t="inlineStr">
        <is>
          <t>Annual cost (USD)</t>
        </is>
      </c>
      <c r="K4" s="3" t="inlineStr">
        <is>
          <t>Cited from</t>
        </is>
      </c>
      <c r="L4" s="3" t="inlineStr">
        <is>
          <t>Price source</t>
        </is>
      </c>
      <c r="M4" s="3" t="inlineStr">
        <is>
          <t>Note</t>
        </is>
      </c>
      <c r="N4" s="3" t="inlineStr">
        <is>
          <t>Environment</t>
        </is>
      </c>
    </row>
    <row r="5">
      <c r="A5" t="n">
        <v>1</v>
      </c>
      <c r="B5" t="inlineStr">
        <is>
          <t>AKS nodes</t>
        </is>
      </c>
      <c r="C5" t="inlineStr">
        <is>
          <t>Virtual Machines</t>
        </is>
      </c>
      <c r="D5" t="inlineStr">
        <is>
          <t>Standard_D4s_v5</t>
        </is>
      </c>
      <c r="E5" t="inlineStr">
        <is>
          <t>1 Hour</t>
        </is>
      </c>
      <c r="F5" s="19" t="n">
        <v>0.235</v>
      </c>
      <c r="G5" s="4" t="n">
        <v>2</v>
      </c>
      <c r="H5" s="4" t="n">
        <v>220</v>
      </c>
      <c r="I5" s="10">
        <f>F5*G5*H5*FxRate</f>
        <v/>
      </c>
      <c r="J5" s="10">
        <f>I5*12</f>
        <v/>
      </c>
      <c r="K5" s="20" t="inlineStr">
        <is>
          <t>_bmad-output/planning-artifacts/architecture/falcon/ARCHITECTURE-SPINE.md AD-1</t>
        </is>
      </c>
      <c r="L5" s="20" t="inlineStr">
        <is>
          <t>Azure Retail Prices API, Virtual Machines Dsv5 Series / D4s v5, uaenorth, USD per 1 Hour, meterId 75a8da05-74dd-5b32-bb86-4f5cc74cdb60, fetched 2026-09-28</t>
        </is>
      </c>
      <c r="M5" s="20" t="inlineStr">
        <is>
          <t>Dev nodes stopped outside working hours</t>
        </is>
      </c>
      <c r="N5" t="inlineStr">
        <is>
          <t>Dev</t>
        </is>
      </c>
    </row>
    <row r="6">
      <c r="A6" t="n">
        <v>2</v>
      </c>
      <c r="B6" t="inlineStr">
        <is>
          <t>Customer database</t>
        </is>
      </c>
      <c r="C6" t="inlineStr">
        <is>
          <t>SQL Database</t>
        </is>
      </c>
      <c r="D6" t="inlineStr">
        <is>
          <t>General Purpose Gen5, 2 vCore</t>
        </is>
      </c>
      <c r="E6" t="inlineStr">
        <is>
          <t>1 vCore Hour</t>
        </is>
      </c>
      <c r="F6" s="19" t="n">
        <v>0.253</v>
      </c>
      <c r="G6" s="4" t="n">
        <v>2</v>
      </c>
      <c r="H6" s="9">
        <f>HoursPerMonth</f>
        <v/>
      </c>
      <c r="I6" s="10">
        <f>F6*G6*H6*FxRate</f>
        <v/>
      </c>
      <c r="J6" s="10">
        <f>I6*12</f>
        <v/>
      </c>
      <c r="K6" s="20" t="inlineStr">
        <is>
          <t>_bmad-output/planning-artifacts/architecture/falcon/ARCHITECTURE-SPINE.md AD-2</t>
        </is>
      </c>
      <c r="L6" s="20" t="inlineStr">
        <is>
          <t>Synthetic sample price (not looked up)</t>
        </is>
      </c>
      <c r="M6" s="20" t="inlineStr"/>
      <c r="N6" t="inlineStr">
        <is>
          <t>Dev</t>
        </is>
      </c>
    </row>
    <row r="7">
      <c r="A7" t="n">
        <v>3</v>
      </c>
      <c r="B7" t="inlineStr">
        <is>
          <t>Document storage</t>
        </is>
      </c>
      <c r="C7" t="inlineStr">
        <is>
          <t>Storage</t>
        </is>
      </c>
      <c r="D7" t="inlineStr">
        <is>
          <t>Blob Hot LRS</t>
        </is>
      </c>
      <c r="E7" t="inlineStr">
        <is>
          <t>1 GB/Month</t>
        </is>
      </c>
      <c r="F7" s="19" t="n">
        <v>0.019</v>
      </c>
      <c r="G7" s="4" t="n">
        <v>50</v>
      </c>
      <c r="H7" s="4" t="n">
        <v>1</v>
      </c>
      <c r="I7" s="10">
        <f>F7*G7*H7*FxRate</f>
        <v/>
      </c>
      <c r="J7" s="10">
        <f>I7*12</f>
        <v/>
      </c>
      <c r="K7" s="20" t="inlineStr">
        <is>
          <t>assumption: 50 GB of test documents</t>
        </is>
      </c>
      <c r="L7" s="20" t="inlineStr">
        <is>
          <t>Synthetic sample price (not looked up)</t>
        </is>
      </c>
      <c r="M7" s="20" t="inlineStr"/>
      <c r="N7" t="inlineStr">
        <is>
          <t>Dev</t>
        </is>
      </c>
    </row>
    <row r="8">
      <c r="A8" t="n">
        <v>4</v>
      </c>
      <c r="B8" t="inlineStr">
        <is>
          <t>Secrets</t>
        </is>
      </c>
      <c r="C8" t="inlineStr">
        <is>
          <t>Key Vault</t>
        </is>
      </c>
      <c r="D8" t="inlineStr">
        <is>
          <t>Standard</t>
        </is>
      </c>
      <c r="E8" t="inlineStr">
        <is>
          <t>10K operations</t>
        </is>
      </c>
      <c r="F8" s="19" t="n">
        <v>0.03</v>
      </c>
      <c r="G8" s="4" t="n">
        <v>30</v>
      </c>
      <c r="H8" s="4" t="n">
        <v>1</v>
      </c>
      <c r="I8" s="10">
        <f>F8*G8*H8*FxRate</f>
        <v/>
      </c>
      <c r="J8" s="10">
        <f>I8*12</f>
        <v/>
      </c>
      <c r="K8" s="20" t="inlineStr">
        <is>
          <t>_bmad-output/planning-artifacts/architecture/falcon/ARCHITECTURE-SPINE.md AD-5</t>
        </is>
      </c>
      <c r="L8" s="20" t="inlineStr">
        <is>
          <t>Synthetic sample price (not looked up)</t>
        </is>
      </c>
      <c r="M8" s="20" t="inlineStr"/>
      <c r="N8" t="inlineStr">
        <is>
          <t>Dev</t>
        </is>
      </c>
    </row>
    <row r="9">
      <c r="A9" t="n">
        <v>5</v>
      </c>
      <c r="B9" t="inlineStr">
        <is>
          <t>Logs and metrics</t>
        </is>
      </c>
      <c r="C9" t="inlineStr">
        <is>
          <t>Log Analytics</t>
        </is>
      </c>
      <c r="D9" t="inlineStr">
        <is>
          <t>Pay-as-you-go</t>
        </is>
      </c>
      <c r="E9" t="inlineStr">
        <is>
          <t>1 GB</t>
        </is>
      </c>
      <c r="F9" s="19" t="n">
        <v>2.76</v>
      </c>
      <c r="G9" s="4" t="n">
        <v>5</v>
      </c>
      <c r="H9" s="4" t="n">
        <v>1</v>
      </c>
      <c r="I9" s="10">
        <f>F9*G9*H9*FxRate</f>
        <v/>
      </c>
      <c r="J9" s="10">
        <f>I9*12</f>
        <v/>
      </c>
      <c r="K9" s="20" t="inlineStr">
        <is>
          <t>_bmad-output/planning-artifacts/architecture/falcon/ARCHITECTURE-SPINE.md AD-5</t>
        </is>
      </c>
      <c r="L9" s="20" t="inlineStr">
        <is>
          <t>Synthetic sample price (not looked up)</t>
        </is>
      </c>
      <c r="M9" s="20" t="inlineStr"/>
      <c r="N9" t="inlineStr">
        <is>
          <t>Dev</t>
        </is>
      </c>
    </row>
    <row r="10">
      <c r="F10" s="11" t="n"/>
      <c r="G10" s="11" t="n"/>
      <c r="H10" s="11" t="n"/>
      <c r="I10" s="10">
        <f>IF(F10="","",F10*G10*H10*FxRate)</f>
        <v/>
      </c>
      <c r="J10" s="10">
        <f>IF(I10="","",I10*12)</f>
        <v/>
      </c>
      <c r="N10" t="inlineStr">
        <is>
          <t>Dev</t>
        </is>
      </c>
    </row>
    <row r="11">
      <c r="F11" s="11" t="n"/>
      <c r="G11" s="11" t="n"/>
      <c r="H11" s="11" t="n"/>
      <c r="I11" s="10">
        <f>IF(F11="","",F11*G11*H11*FxRate)</f>
        <v/>
      </c>
      <c r="J11" s="10">
        <f>IF(I11="","",I11*12)</f>
        <v/>
      </c>
      <c r="N11" t="inlineStr">
        <is>
          <t>Dev</t>
        </is>
      </c>
    </row>
    <row r="12">
      <c r="F12" s="11" t="n"/>
      <c r="G12" s="11" t="n"/>
      <c r="H12" s="11" t="n"/>
      <c r="I12" s="10">
        <f>IF(F12="","",F12*G12*H12*FxRate)</f>
        <v/>
      </c>
      <c r="J12" s="10">
        <f>IF(I12="","",I12*12)</f>
        <v/>
      </c>
      <c r="N12" t="inlineStr">
        <is>
          <t>Dev</t>
        </is>
      </c>
    </row>
    <row r="13">
      <c r="A13" s="12" t="inlineStr">
        <is>
          <t>Total</t>
        </is>
      </c>
      <c r="B13" s="12" t="n"/>
      <c r="C13" s="12" t="n"/>
      <c r="D13" s="12" t="n"/>
      <c r="E13" s="12" t="n"/>
      <c r="F13" s="12" t="n"/>
      <c r="G13" s="12" t="n"/>
      <c r="H13" s="12" t="n"/>
      <c r="I13" s="14">
        <f>SUM(I5:I12)</f>
        <v/>
      </c>
      <c r="J13" s="14">
        <f>SUM(J5:J12)</f>
        <v/>
      </c>
      <c r="K13" s="12" t="n"/>
      <c r="L13" s="12" t="n"/>
      <c r="M13" s="1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24" customWidth="1" min="4" max="4"/>
    <col width="12" customWidth="1" min="5" max="5"/>
    <col width="14" customWidth="1" min="6" max="6"/>
    <col width="10" customWidth="1" min="7" max="7"/>
    <col width="12" customWidth="1" min="8" max="8"/>
    <col width="16" customWidth="1" min="9" max="9"/>
    <col width="16" customWidth="1" min="10" max="10"/>
    <col width="40" customWidth="1" min="11" max="11"/>
    <col width="48" customWidth="1" min="12" max="12"/>
    <col width="30" customWidth="1" min="13" max="13"/>
    <col width="14" customWidth="1" min="14" max="14"/>
  </cols>
  <sheetData>
    <row r="1">
      <c r="A1" s="1" t="inlineStr">
        <is>
          <t>Test environment</t>
        </is>
      </c>
    </row>
    <row r="2">
      <c r="A2" t="inlineStr">
        <is>
          <t>Azure retail list prices (pay-as-you-go) in uaenorth, USD, fetched 2026-09-28. Blue cells are inputs.</t>
        </is>
      </c>
    </row>
    <row r="4">
      <c r="A4" s="3" t="inlineStr">
        <is>
          <t>#</t>
        </is>
      </c>
      <c r="B4" s="3" t="inlineStr">
        <is>
          <t>Component</t>
        </is>
      </c>
      <c r="C4" s="3" t="inlineStr">
        <is>
          <t>Azure service</t>
        </is>
      </c>
      <c r="D4" s="3" t="inlineStr">
        <is>
          <t>SKU / tier</t>
        </is>
      </c>
      <c r="E4" s="3" t="inlineStr">
        <is>
          <t>Unit</t>
        </is>
      </c>
      <c r="F4" s="3" t="inlineStr">
        <is>
          <t>Unit price (USD)</t>
        </is>
      </c>
      <c r="G4" s="3" t="inlineStr">
        <is>
          <t>Quantity</t>
        </is>
      </c>
      <c r="H4" s="3" t="inlineStr">
        <is>
          <t>Usage per month</t>
        </is>
      </c>
      <c r="I4" s="3" t="inlineStr">
        <is>
          <t>Monthly cost (USD)</t>
        </is>
      </c>
      <c r="J4" s="3" t="inlineStr">
        <is>
          <t>Annual cost (USD)</t>
        </is>
      </c>
      <c r="K4" s="3" t="inlineStr">
        <is>
          <t>Cited from</t>
        </is>
      </c>
      <c r="L4" s="3" t="inlineStr">
        <is>
          <t>Price source</t>
        </is>
      </c>
      <c r="M4" s="3" t="inlineStr">
        <is>
          <t>Note</t>
        </is>
      </c>
      <c r="N4" s="3" t="inlineStr">
        <is>
          <t>Environment</t>
        </is>
      </c>
    </row>
    <row r="5">
      <c r="A5" t="n">
        <v>1</v>
      </c>
      <c r="B5" t="inlineStr">
        <is>
          <t>AKS nodes</t>
        </is>
      </c>
      <c r="C5" t="inlineStr">
        <is>
          <t>Virtual Machines</t>
        </is>
      </c>
      <c r="D5" t="inlineStr">
        <is>
          <t>Standard_D4s_v5</t>
        </is>
      </c>
      <c r="E5" t="inlineStr">
        <is>
          <t>1 Hour</t>
        </is>
      </c>
      <c r="F5" s="19" t="n">
        <v>0.235</v>
      </c>
      <c r="G5" s="4" t="n">
        <v>2</v>
      </c>
      <c r="H5" s="9">
        <f>HoursPerMonth</f>
        <v/>
      </c>
      <c r="I5" s="10">
        <f>F5*G5*H5*FxRate</f>
        <v/>
      </c>
      <c r="J5" s="10">
        <f>I5*12</f>
        <v/>
      </c>
      <c r="K5" s="20" t="inlineStr">
        <is>
          <t>_bmad-output/planning-artifacts/architecture/falcon/ARCHITECTURE-SPINE.md AD-1</t>
        </is>
      </c>
      <c r="L5" s="20" t="inlineStr">
        <is>
          <t>Azure Retail Prices API, Virtual Machines Dsv5 Series / D4s v5, uaenorth, USD per 1 Hour, meterId 75a8da05-74dd-5b32-bb86-4f5cc74cdb60, fetched 2026-09-28</t>
        </is>
      </c>
      <c r="M5" s="20" t="inlineStr"/>
      <c r="N5" t="inlineStr">
        <is>
          <t>Test</t>
        </is>
      </c>
    </row>
    <row r="6">
      <c r="A6" t="n">
        <v>2</v>
      </c>
      <c r="B6" t="inlineStr">
        <is>
          <t>Customer database</t>
        </is>
      </c>
      <c r="C6" t="inlineStr">
        <is>
          <t>SQL Database</t>
        </is>
      </c>
      <c r="D6" t="inlineStr">
        <is>
          <t>General Purpose Gen5, 2 vCore</t>
        </is>
      </c>
      <c r="E6" t="inlineStr">
        <is>
          <t>1 vCore Hour</t>
        </is>
      </c>
      <c r="F6" s="19" t="n">
        <v>0.253</v>
      </c>
      <c r="G6" s="4" t="n">
        <v>2</v>
      </c>
      <c r="H6" s="9">
        <f>HoursPerMonth</f>
        <v/>
      </c>
      <c r="I6" s="10">
        <f>F6*G6*H6*FxRate</f>
        <v/>
      </c>
      <c r="J6" s="10">
        <f>I6*12</f>
        <v/>
      </c>
      <c r="K6" s="20" t="inlineStr">
        <is>
          <t>_bmad-output/planning-artifacts/architecture/falcon/ARCHITECTURE-SPINE.md AD-2</t>
        </is>
      </c>
      <c r="L6" s="20" t="inlineStr">
        <is>
          <t>Synthetic sample price (not looked up)</t>
        </is>
      </c>
      <c r="M6" s="20" t="inlineStr"/>
      <c r="N6" t="inlineStr">
        <is>
          <t>Test</t>
        </is>
      </c>
    </row>
    <row r="7">
      <c r="A7" t="n">
        <v>3</v>
      </c>
      <c r="B7" t="inlineStr">
        <is>
          <t>Document storage</t>
        </is>
      </c>
      <c r="C7" t="inlineStr">
        <is>
          <t>Storage</t>
        </is>
      </c>
      <c r="D7" t="inlineStr">
        <is>
          <t>Blob Hot LRS</t>
        </is>
      </c>
      <c r="E7" t="inlineStr">
        <is>
          <t>1 GB/Month</t>
        </is>
      </c>
      <c r="F7" s="19" t="n">
        <v>0.019</v>
      </c>
      <c r="G7" s="4" t="n">
        <v>50</v>
      </c>
      <c r="H7" s="4" t="n">
        <v>1</v>
      </c>
      <c r="I7" s="10">
        <f>F7*G7*H7*FxRate</f>
        <v/>
      </c>
      <c r="J7" s="10">
        <f>I7*12</f>
        <v/>
      </c>
      <c r="K7" s="20" t="inlineStr">
        <is>
          <t>assumption: 50 GB of test documents</t>
        </is>
      </c>
      <c r="L7" s="20" t="inlineStr">
        <is>
          <t>Synthetic sample price (not looked up)</t>
        </is>
      </c>
      <c r="M7" s="20" t="inlineStr"/>
      <c r="N7" t="inlineStr">
        <is>
          <t>Test</t>
        </is>
      </c>
    </row>
    <row r="8">
      <c r="A8" t="n">
        <v>4</v>
      </c>
      <c r="B8" t="inlineStr">
        <is>
          <t>Secrets</t>
        </is>
      </c>
      <c r="C8" t="inlineStr">
        <is>
          <t>Key Vault</t>
        </is>
      </c>
      <c r="D8" t="inlineStr">
        <is>
          <t>Standard</t>
        </is>
      </c>
      <c r="E8" t="inlineStr">
        <is>
          <t>10K operations</t>
        </is>
      </c>
      <c r="F8" s="19" t="n">
        <v>0.03</v>
      </c>
      <c r="G8" s="4" t="n">
        <v>30</v>
      </c>
      <c r="H8" s="4" t="n">
        <v>1</v>
      </c>
      <c r="I8" s="10">
        <f>F8*G8*H8*FxRate</f>
        <v/>
      </c>
      <c r="J8" s="10">
        <f>I8*12</f>
        <v/>
      </c>
      <c r="K8" s="20" t="inlineStr">
        <is>
          <t>_bmad-output/planning-artifacts/architecture/falcon/ARCHITECTURE-SPINE.md AD-5</t>
        </is>
      </c>
      <c r="L8" s="20" t="inlineStr">
        <is>
          <t>Synthetic sample price (not looked up)</t>
        </is>
      </c>
      <c r="M8" s="20" t="inlineStr"/>
      <c r="N8" t="inlineStr">
        <is>
          <t>Test</t>
        </is>
      </c>
    </row>
    <row r="9">
      <c r="A9" t="n">
        <v>5</v>
      </c>
      <c r="B9" t="inlineStr">
        <is>
          <t>Logs and metrics</t>
        </is>
      </c>
      <c r="C9" t="inlineStr">
        <is>
          <t>Log Analytics</t>
        </is>
      </c>
      <c r="D9" t="inlineStr">
        <is>
          <t>Pay-as-you-go</t>
        </is>
      </c>
      <c r="E9" t="inlineStr">
        <is>
          <t>1 GB</t>
        </is>
      </c>
      <c r="F9" s="19" t="n">
        <v>2.76</v>
      </c>
      <c r="G9" s="4" t="n">
        <v>5</v>
      </c>
      <c r="H9" s="4" t="n">
        <v>1</v>
      </c>
      <c r="I9" s="10">
        <f>F9*G9*H9*FxRate</f>
        <v/>
      </c>
      <c r="J9" s="10">
        <f>I9*12</f>
        <v/>
      </c>
      <c r="K9" s="20" t="inlineStr">
        <is>
          <t>_bmad-output/planning-artifacts/architecture/falcon/ARCHITECTURE-SPINE.md AD-5</t>
        </is>
      </c>
      <c r="L9" s="20" t="inlineStr">
        <is>
          <t>Synthetic sample price (not looked up)</t>
        </is>
      </c>
      <c r="M9" s="20" t="inlineStr"/>
      <c r="N9" t="inlineStr">
        <is>
          <t>Test</t>
        </is>
      </c>
    </row>
    <row r="10">
      <c r="A10" t="n">
        <v>6</v>
      </c>
      <c r="B10" t="inlineStr">
        <is>
          <t>Edge</t>
        </is>
      </c>
      <c r="C10" t="inlineStr">
        <is>
          <t>Azure Front Door Service</t>
        </is>
      </c>
      <c r="D10" t="inlineStr">
        <is>
          <t>Standard base fee</t>
        </is>
      </c>
      <c r="E10" t="inlineStr">
        <is>
          <t>1 Month</t>
        </is>
      </c>
      <c r="F10" s="19" t="n">
        <v>35</v>
      </c>
      <c r="G10" s="4" t="n">
        <v>1</v>
      </c>
      <c r="H10" s="4" t="n">
        <v>1</v>
      </c>
      <c r="I10" s="10">
        <f>F10*G10*H10*FxRate</f>
        <v/>
      </c>
      <c r="J10" s="10">
        <f>I10*12</f>
        <v/>
      </c>
      <c r="K10" s="20" t="inlineStr">
        <is>
          <t>_bmad-output/planning-artifacts/architecture/falcon/ARCHITECTURE-SPINE.md AD-4</t>
        </is>
      </c>
      <c r="L10" s="20" t="inlineStr">
        <is>
          <t>Synthetic sample price (not looked up)</t>
        </is>
      </c>
      <c r="M10" s="20" t="inlineStr"/>
      <c r="N10" t="inlineStr">
        <is>
          <t>Test</t>
        </is>
      </c>
    </row>
    <row r="11">
      <c r="F11" s="11" t="n"/>
      <c r="G11" s="11" t="n"/>
      <c r="H11" s="11" t="n"/>
      <c r="I11" s="10">
        <f>IF(F11="","",F11*G11*H11*FxRate)</f>
        <v/>
      </c>
      <c r="J11" s="10">
        <f>IF(I11="","",I11*12)</f>
        <v/>
      </c>
      <c r="N11" t="inlineStr">
        <is>
          <t>Test</t>
        </is>
      </c>
    </row>
    <row r="12">
      <c r="F12" s="11" t="n"/>
      <c r="G12" s="11" t="n"/>
      <c r="H12" s="11" t="n"/>
      <c r="I12" s="10">
        <f>IF(F12="","",F12*G12*H12*FxRate)</f>
        <v/>
      </c>
      <c r="J12" s="10">
        <f>IF(I12="","",I12*12)</f>
        <v/>
      </c>
      <c r="N12" t="inlineStr">
        <is>
          <t>Test</t>
        </is>
      </c>
    </row>
    <row r="13">
      <c r="F13" s="11" t="n"/>
      <c r="G13" s="11" t="n"/>
      <c r="H13" s="11" t="n"/>
      <c r="I13" s="10">
        <f>IF(F13="","",F13*G13*H13*FxRate)</f>
        <v/>
      </c>
      <c r="J13" s="10">
        <f>IF(I13="","",I13*12)</f>
        <v/>
      </c>
      <c r="N13" t="inlineStr">
        <is>
          <t>Test</t>
        </is>
      </c>
    </row>
    <row r="14">
      <c r="A14" s="12" t="inlineStr">
        <is>
          <t>Total</t>
        </is>
      </c>
      <c r="B14" s="12" t="n"/>
      <c r="C14" s="12" t="n"/>
      <c r="D14" s="12" t="n"/>
      <c r="E14" s="12" t="n"/>
      <c r="F14" s="12" t="n"/>
      <c r="G14" s="12" t="n"/>
      <c r="H14" s="12" t="n"/>
      <c r="I14" s="14">
        <f>SUM(I5:I13)</f>
        <v/>
      </c>
      <c r="J14" s="14">
        <f>SUM(J5:J13)</f>
        <v/>
      </c>
      <c r="K14" s="12" t="n"/>
      <c r="L14" s="12" t="n"/>
      <c r="M14" s="1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24" customWidth="1" min="4" max="4"/>
    <col width="12" customWidth="1" min="5" max="5"/>
    <col width="14" customWidth="1" min="6" max="6"/>
    <col width="10" customWidth="1" min="7" max="7"/>
    <col width="12" customWidth="1" min="8" max="8"/>
    <col width="16" customWidth="1" min="9" max="9"/>
    <col width="16" customWidth="1" min="10" max="10"/>
    <col width="40" customWidth="1" min="11" max="11"/>
    <col width="48" customWidth="1" min="12" max="12"/>
    <col width="30" customWidth="1" min="13" max="13"/>
    <col width="14" customWidth="1" min="14" max="14"/>
  </cols>
  <sheetData>
    <row r="1">
      <c r="A1" s="1" t="inlineStr">
        <is>
          <t>Prod environment</t>
        </is>
      </c>
    </row>
    <row r="2">
      <c r="A2" t="inlineStr">
        <is>
          <t>Azure retail list prices (pay-as-you-go) in uaenorth, USD, fetched 2026-09-28. Blue cells are inputs.</t>
        </is>
      </c>
    </row>
    <row r="4">
      <c r="A4" s="3" t="inlineStr">
        <is>
          <t>#</t>
        </is>
      </c>
      <c r="B4" s="3" t="inlineStr">
        <is>
          <t>Component</t>
        </is>
      </c>
      <c r="C4" s="3" t="inlineStr">
        <is>
          <t>Azure service</t>
        </is>
      </c>
      <c r="D4" s="3" t="inlineStr">
        <is>
          <t>SKU / tier</t>
        </is>
      </c>
      <c r="E4" s="3" t="inlineStr">
        <is>
          <t>Unit</t>
        </is>
      </c>
      <c r="F4" s="3" t="inlineStr">
        <is>
          <t>Unit price (USD)</t>
        </is>
      </c>
      <c r="G4" s="3" t="inlineStr">
        <is>
          <t>Quantity</t>
        </is>
      </c>
      <c r="H4" s="3" t="inlineStr">
        <is>
          <t>Usage per month</t>
        </is>
      </c>
      <c r="I4" s="3" t="inlineStr">
        <is>
          <t>Monthly cost (USD)</t>
        </is>
      </c>
      <c r="J4" s="3" t="inlineStr">
        <is>
          <t>Annual cost (USD)</t>
        </is>
      </c>
      <c r="K4" s="3" t="inlineStr">
        <is>
          <t>Cited from</t>
        </is>
      </c>
      <c r="L4" s="3" t="inlineStr">
        <is>
          <t>Price source</t>
        </is>
      </c>
      <c r="M4" s="3" t="inlineStr">
        <is>
          <t>Note</t>
        </is>
      </c>
      <c r="N4" s="3" t="inlineStr">
        <is>
          <t>Environment</t>
        </is>
      </c>
    </row>
    <row r="5">
      <c r="A5" t="n">
        <v>1</v>
      </c>
      <c r="B5" t="inlineStr">
        <is>
          <t>AKS nodes</t>
        </is>
      </c>
      <c r="C5" t="inlineStr">
        <is>
          <t>Virtual Machines</t>
        </is>
      </c>
      <c r="D5" t="inlineStr">
        <is>
          <t>Standard_D4s_v5</t>
        </is>
      </c>
      <c r="E5" t="inlineStr">
        <is>
          <t>1 Hour</t>
        </is>
      </c>
      <c r="F5" s="19" t="n">
        <v>0.235</v>
      </c>
      <c r="G5" s="4" t="n">
        <v>3</v>
      </c>
      <c r="H5" s="9">
        <f>HoursPerMonth</f>
        <v/>
      </c>
      <c r="I5" s="10">
        <f>F5*G5*H5*FxRate</f>
        <v/>
      </c>
      <c r="J5" s="10">
        <f>I5*12</f>
        <v/>
      </c>
      <c r="K5" s="20" t="inlineStr">
        <is>
          <t>_bmad-output/planning-artifacts/architecture/falcon/ARCHITECTURE-SPINE.md AD-1</t>
        </is>
      </c>
      <c r="L5" s="20" t="inlineStr">
        <is>
          <t>Azure Retail Prices API, Virtual Machines Dsv5 Series / D4s v5, uaenorth, USD per 1 Hour, meterId 75a8da05-74dd-5b32-bb86-4f5cc74cdb60, fetched 2026-09-28</t>
        </is>
      </c>
      <c r="M5" s="20" t="inlineStr"/>
      <c r="N5" t="inlineStr">
        <is>
          <t>Prod</t>
        </is>
      </c>
    </row>
    <row r="6">
      <c r="A6" t="n">
        <v>2</v>
      </c>
      <c r="B6" t="inlineStr">
        <is>
          <t>Customer database</t>
        </is>
      </c>
      <c r="C6" t="inlineStr">
        <is>
          <t>SQL Database</t>
        </is>
      </c>
      <c r="D6" t="inlineStr">
        <is>
          <t>General Purpose Gen5, 4 vCore</t>
        </is>
      </c>
      <c r="E6" t="inlineStr">
        <is>
          <t>1 vCore Hour</t>
        </is>
      </c>
      <c r="F6" s="19" t="n">
        <v>0.253</v>
      </c>
      <c r="G6" s="4" t="n">
        <v>4</v>
      </c>
      <c r="H6" s="9">
        <f>HoursPerMonth</f>
        <v/>
      </c>
      <c r="I6" s="10">
        <f>F6*G6*H6*FxRate</f>
        <v/>
      </c>
      <c r="J6" s="10">
        <f>I6*12</f>
        <v/>
      </c>
      <c r="K6" s="20" t="inlineStr">
        <is>
          <t>_bmad-output/planning-artifacts/architecture/falcon/ARCHITECTURE-SPINE.md AD-2</t>
        </is>
      </c>
      <c r="L6" s="20" t="inlineStr">
        <is>
          <t>Synthetic sample price (not looked up)</t>
        </is>
      </c>
      <c r="M6" s="20" t="inlineStr"/>
      <c r="N6" t="inlineStr">
        <is>
          <t>Prod</t>
        </is>
      </c>
    </row>
    <row r="7">
      <c r="A7" t="n">
        <v>3</v>
      </c>
      <c r="B7" t="inlineStr">
        <is>
          <t>Document storage</t>
        </is>
      </c>
      <c r="C7" t="inlineStr">
        <is>
          <t>Storage</t>
        </is>
      </c>
      <c r="D7" t="inlineStr">
        <is>
          <t>Blob Hot LRS</t>
        </is>
      </c>
      <c r="E7" t="inlineStr">
        <is>
          <t>1 GB/Month</t>
        </is>
      </c>
      <c r="F7" s="19" t="n">
        <v>0.019</v>
      </c>
      <c r="G7" s="4" t="n">
        <v>500</v>
      </c>
      <c r="H7" s="4" t="n">
        <v>1</v>
      </c>
      <c r="I7" s="10">
        <f>F7*G7*H7*FxRate</f>
        <v/>
      </c>
      <c r="J7" s="10">
        <f>I7*12</f>
        <v/>
      </c>
      <c r="K7" s="20" t="inlineStr">
        <is>
          <t>_bmad-output/planning-artifacts/architecture/falcon/ARCHITECTURE-SPINE.md AD-3</t>
        </is>
      </c>
      <c r="L7" s="20" t="inlineStr">
        <is>
          <t>Synthetic sample price (not looked up)</t>
        </is>
      </c>
      <c r="M7" s="20" t="inlineStr"/>
      <c r="N7" t="inlineStr">
        <is>
          <t>Prod</t>
        </is>
      </c>
    </row>
    <row r="8">
      <c r="A8" t="n">
        <v>4</v>
      </c>
      <c r="B8" t="inlineStr">
        <is>
          <t>Secrets</t>
        </is>
      </c>
      <c r="C8" t="inlineStr">
        <is>
          <t>Key Vault</t>
        </is>
      </c>
      <c r="D8" t="inlineStr">
        <is>
          <t>Standard</t>
        </is>
      </c>
      <c r="E8" t="inlineStr">
        <is>
          <t>10K operations</t>
        </is>
      </c>
      <c r="F8" s="19" t="n">
        <v>0.03</v>
      </c>
      <c r="G8" s="4" t="n">
        <v>30</v>
      </c>
      <c r="H8" s="4" t="n">
        <v>1</v>
      </c>
      <c r="I8" s="10">
        <f>F8*G8*H8*FxRate</f>
        <v/>
      </c>
      <c r="J8" s="10">
        <f>I8*12</f>
        <v/>
      </c>
      <c r="K8" s="20" t="inlineStr">
        <is>
          <t>_bmad-output/planning-artifacts/architecture/falcon/ARCHITECTURE-SPINE.md AD-5</t>
        </is>
      </c>
      <c r="L8" s="20" t="inlineStr">
        <is>
          <t>Synthetic sample price (not looked up)</t>
        </is>
      </c>
      <c r="M8" s="20" t="inlineStr"/>
      <c r="N8" t="inlineStr">
        <is>
          <t>Prod</t>
        </is>
      </c>
    </row>
    <row r="9">
      <c r="A9" t="n">
        <v>5</v>
      </c>
      <c r="B9" t="inlineStr">
        <is>
          <t>Logs and metrics</t>
        </is>
      </c>
      <c r="C9" t="inlineStr">
        <is>
          <t>Log Analytics</t>
        </is>
      </c>
      <c r="D9" t="inlineStr">
        <is>
          <t>Pay-as-you-go</t>
        </is>
      </c>
      <c r="E9" t="inlineStr">
        <is>
          <t>1 GB</t>
        </is>
      </c>
      <c r="F9" s="19" t="n">
        <v>2.76</v>
      </c>
      <c r="G9" s="4" t="n">
        <v>30</v>
      </c>
      <c r="H9" s="4" t="n">
        <v>1</v>
      </c>
      <c r="I9" s="10">
        <f>F9*G9*H9*FxRate</f>
        <v/>
      </c>
      <c r="J9" s="10">
        <f>I9*12</f>
        <v/>
      </c>
      <c r="K9" s="20" t="inlineStr">
        <is>
          <t>_bmad-output/planning-artifacts/architecture/falcon/ARCHITECTURE-SPINE.md AD-5</t>
        </is>
      </c>
      <c r="L9" s="20" t="inlineStr">
        <is>
          <t>Synthetic sample price (not looked up)</t>
        </is>
      </c>
      <c r="M9" s="20" t="inlineStr"/>
      <c r="N9" t="inlineStr">
        <is>
          <t>Prod</t>
        </is>
      </c>
    </row>
    <row r="10">
      <c r="A10" t="n">
        <v>6</v>
      </c>
      <c r="B10" t="inlineStr">
        <is>
          <t>Edge</t>
        </is>
      </c>
      <c r="C10" t="inlineStr">
        <is>
          <t>Azure Front Door Service</t>
        </is>
      </c>
      <c r="D10" t="inlineStr">
        <is>
          <t>Standard base fee</t>
        </is>
      </c>
      <c r="E10" t="inlineStr">
        <is>
          <t>1 Month</t>
        </is>
      </c>
      <c r="F10" s="19" t="n">
        <v>35</v>
      </c>
      <c r="G10" s="4" t="n">
        <v>1</v>
      </c>
      <c r="H10" s="4" t="n">
        <v>1</v>
      </c>
      <c r="I10" s="10">
        <f>F10*G10*H10*FxRate</f>
        <v/>
      </c>
      <c r="J10" s="10">
        <f>I10*12</f>
        <v/>
      </c>
      <c r="K10" s="20" t="inlineStr">
        <is>
          <t>_bmad-output/planning-artifacts/architecture/falcon/ARCHITECTURE-SPINE.md AD-4</t>
        </is>
      </c>
      <c r="L10" s="20" t="inlineStr">
        <is>
          <t>Synthetic sample price (not looked up)</t>
        </is>
      </c>
      <c r="M10" s="20" t="inlineStr"/>
      <c r="N10" t="inlineStr">
        <is>
          <t>Prod</t>
        </is>
      </c>
    </row>
    <row r="11">
      <c r="F11" s="11" t="n"/>
      <c r="G11" s="11" t="n"/>
      <c r="H11" s="11" t="n"/>
      <c r="I11" s="10">
        <f>IF(F11="","",F11*G11*H11*FxRate)</f>
        <v/>
      </c>
      <c r="J11" s="10">
        <f>IF(I11="","",I11*12)</f>
        <v/>
      </c>
      <c r="N11" t="inlineStr">
        <is>
          <t>Prod</t>
        </is>
      </c>
    </row>
    <row r="12">
      <c r="F12" s="11" t="n"/>
      <c r="G12" s="11" t="n"/>
      <c r="H12" s="11" t="n"/>
      <c r="I12" s="10">
        <f>IF(F12="","",F12*G12*H12*FxRate)</f>
        <v/>
      </c>
      <c r="J12" s="10">
        <f>IF(I12="","",I12*12)</f>
        <v/>
      </c>
      <c r="N12" t="inlineStr">
        <is>
          <t>Prod</t>
        </is>
      </c>
    </row>
    <row r="13">
      <c r="F13" s="11" t="n"/>
      <c r="G13" s="11" t="n"/>
      <c r="H13" s="11" t="n"/>
      <c r="I13" s="10">
        <f>IF(F13="","",F13*G13*H13*FxRate)</f>
        <v/>
      </c>
      <c r="J13" s="10">
        <f>IF(I13="","",I13*12)</f>
        <v/>
      </c>
      <c r="N13" t="inlineStr">
        <is>
          <t>Prod</t>
        </is>
      </c>
    </row>
    <row r="14">
      <c r="A14" s="12" t="inlineStr">
        <is>
          <t>Total</t>
        </is>
      </c>
      <c r="B14" s="12" t="n"/>
      <c r="C14" s="12" t="n"/>
      <c r="D14" s="12" t="n"/>
      <c r="E14" s="12" t="n"/>
      <c r="F14" s="12" t="n"/>
      <c r="G14" s="12" t="n"/>
      <c r="H14" s="12" t="n"/>
      <c r="I14" s="14">
        <f>SUM(I5:I13)</f>
        <v/>
      </c>
      <c r="J14" s="14">
        <f>SUM(J5:J13)</f>
        <v/>
      </c>
      <c r="K14" s="12" t="n"/>
      <c r="L14" s="12" t="n"/>
      <c r="M14" s="1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1" t="inlineStr">
        <is>
          <t>Claude API list prices</t>
        </is>
      </c>
    </row>
    <row r="2">
      <c r="A2" t="inlineStr">
        <is>
          <t>USD per million tokens, from https://platform.claude.com/docs/en/about-claude/pricing, read 2026-09-28. Blue cells are inputs.</t>
        </is>
      </c>
    </row>
    <row r="4">
      <c r="A4" s="3" t="inlineStr">
        <is>
          <t>Pricing model</t>
        </is>
      </c>
      <c r="B4" s="3" t="inlineStr">
        <is>
          <t>Name</t>
        </is>
      </c>
      <c r="C4" s="3" t="inlineStr">
        <is>
          <t>Input</t>
        </is>
      </c>
      <c r="D4" s="3" t="inlineStr">
        <is>
          <t>Cache write 5m</t>
        </is>
      </c>
      <c r="E4" s="3" t="inlineStr">
        <is>
          <t>Cache write 1h</t>
        </is>
      </c>
      <c r="F4" s="3" t="inlineStr">
        <is>
          <t>Cache read</t>
        </is>
      </c>
      <c r="G4" s="3" t="inlineStr">
        <is>
          <t>Output</t>
        </is>
      </c>
    </row>
    <row r="5">
      <c r="A5" t="inlineStr">
        <is>
          <t>claude-fable-5</t>
        </is>
      </c>
      <c r="B5" t="inlineStr">
        <is>
          <t>Claude Fable 5</t>
        </is>
      </c>
      <c r="C5" s="18" t="n">
        <v>10</v>
      </c>
      <c r="D5" s="18" t="n">
        <v>12.5</v>
      </c>
      <c r="E5" s="18" t="n">
        <v>20</v>
      </c>
      <c r="F5" s="18" t="n">
        <v>1</v>
      </c>
      <c r="G5" s="18" t="n">
        <v>50</v>
      </c>
    </row>
    <row r="6">
      <c r="A6" t="inlineStr">
        <is>
          <t>claude-fable-5-1</t>
        </is>
      </c>
      <c r="B6" t="inlineStr">
        <is>
          <t>Claude Fable 5.1</t>
        </is>
      </c>
      <c r="C6" s="18" t="n">
        <v>10</v>
      </c>
      <c r="D6" s="18" t="n">
        <v>12.5</v>
      </c>
      <c r="E6" s="18" t="n">
        <v>20</v>
      </c>
      <c r="F6" s="18" t="n">
        <v>0.25</v>
      </c>
      <c r="G6" s="18" t="n">
        <v>50</v>
      </c>
    </row>
    <row r="7">
      <c r="A7" t="inlineStr">
        <is>
          <t>claude-haiku-3-5</t>
        </is>
      </c>
      <c r="B7" t="inlineStr">
        <is>
          <t>Claude Haiku 3.5</t>
        </is>
      </c>
      <c r="C7" s="18" t="n">
        <v>0.8</v>
      </c>
      <c r="D7" s="18" t="n">
        <v>1</v>
      </c>
      <c r="E7" s="18" t="n">
        <v>1.6</v>
      </c>
      <c r="F7" s="18" t="n">
        <v>0.08</v>
      </c>
      <c r="G7" s="18" t="n">
        <v>4</v>
      </c>
    </row>
    <row r="8">
      <c r="A8" t="inlineStr">
        <is>
          <t>claude-haiku-4-5</t>
        </is>
      </c>
      <c r="B8" t="inlineStr">
        <is>
          <t>Claude Haiku 4.5</t>
        </is>
      </c>
      <c r="C8" s="18" t="n">
        <v>1</v>
      </c>
      <c r="D8" s="18" t="n">
        <v>1.25</v>
      </c>
      <c r="E8" s="18" t="n">
        <v>2</v>
      </c>
      <c r="F8" s="18" t="n">
        <v>0.1</v>
      </c>
      <c r="G8" s="18" t="n">
        <v>5</v>
      </c>
    </row>
    <row r="9">
      <c r="A9" t="inlineStr">
        <is>
          <t>claude-mythos-5</t>
        </is>
      </c>
      <c r="B9" t="inlineStr">
        <is>
          <t>Claude Mythos 5</t>
        </is>
      </c>
      <c r="C9" s="18" t="n">
        <v>10</v>
      </c>
      <c r="D9" s="18" t="n">
        <v>12.5</v>
      </c>
      <c r="E9" s="18" t="n">
        <v>20</v>
      </c>
      <c r="F9" s="18" t="n">
        <v>1</v>
      </c>
      <c r="G9" s="18" t="n">
        <v>50</v>
      </c>
    </row>
    <row r="10">
      <c r="A10" t="inlineStr">
        <is>
          <t>claude-mythos-5-1</t>
        </is>
      </c>
      <c r="B10" t="inlineStr">
        <is>
          <t>Claude Mythos 5.1</t>
        </is>
      </c>
      <c r="C10" s="18" t="n">
        <v>10</v>
      </c>
      <c r="D10" s="18" t="n">
        <v>12.5</v>
      </c>
      <c r="E10" s="18" t="n">
        <v>20</v>
      </c>
      <c r="F10" s="18" t="n">
        <v>0.25</v>
      </c>
      <c r="G10" s="18" t="n">
        <v>50</v>
      </c>
    </row>
    <row r="11">
      <c r="A11" t="inlineStr">
        <is>
          <t>claude-opus-4</t>
        </is>
      </c>
      <c r="B11" t="inlineStr">
        <is>
          <t>Claude Opus 4</t>
        </is>
      </c>
      <c r="C11" s="18" t="n">
        <v>15</v>
      </c>
      <c r="D11" s="18" t="n">
        <v>18.75</v>
      </c>
      <c r="E11" s="18" t="n">
        <v>30</v>
      </c>
      <c r="F11" s="18" t="n">
        <v>1.5</v>
      </c>
      <c r="G11" s="18" t="n">
        <v>75</v>
      </c>
    </row>
    <row r="12">
      <c r="A12" t="inlineStr">
        <is>
          <t>claude-opus-4-1</t>
        </is>
      </c>
      <c r="B12" t="inlineStr">
        <is>
          <t>Claude Opus 4.1</t>
        </is>
      </c>
      <c r="C12" s="18" t="n">
        <v>15</v>
      </c>
      <c r="D12" s="18" t="n">
        <v>18.75</v>
      </c>
      <c r="E12" s="18" t="n">
        <v>30</v>
      </c>
      <c r="F12" s="18" t="n">
        <v>1.5</v>
      </c>
      <c r="G12" s="18" t="n">
        <v>75</v>
      </c>
    </row>
    <row r="13">
      <c r="A13" t="inlineStr">
        <is>
          <t>claude-opus-4-5</t>
        </is>
      </c>
      <c r="B13" t="inlineStr">
        <is>
          <t>Claude Opus 4.5</t>
        </is>
      </c>
      <c r="C13" s="18" t="n">
        <v>5</v>
      </c>
      <c r="D13" s="18" t="n">
        <v>6.25</v>
      </c>
      <c r="E13" s="18" t="n">
        <v>10</v>
      </c>
      <c r="F13" s="18" t="n">
        <v>0.5</v>
      </c>
      <c r="G13" s="18" t="n">
        <v>25</v>
      </c>
    </row>
    <row r="14">
      <c r="A14" t="inlineStr">
        <is>
          <t>claude-opus-4-6</t>
        </is>
      </c>
      <c r="B14" t="inlineStr">
        <is>
          <t>Claude Opus 4.6</t>
        </is>
      </c>
      <c r="C14" s="18" t="n">
        <v>5</v>
      </c>
      <c r="D14" s="18" t="n">
        <v>6.25</v>
      </c>
      <c r="E14" s="18" t="n">
        <v>10</v>
      </c>
      <c r="F14" s="18" t="n">
        <v>0.5</v>
      </c>
      <c r="G14" s="18" t="n">
        <v>25</v>
      </c>
    </row>
    <row r="15">
      <c r="A15" t="inlineStr">
        <is>
          <t>claude-opus-4-7</t>
        </is>
      </c>
      <c r="B15" t="inlineStr">
        <is>
          <t>Claude Opus 4.7</t>
        </is>
      </c>
      <c r="C15" s="18" t="n">
        <v>5</v>
      </c>
      <c r="D15" s="18" t="n">
        <v>6.25</v>
      </c>
      <c r="E15" s="18" t="n">
        <v>10</v>
      </c>
      <c r="F15" s="18" t="n">
        <v>0.5</v>
      </c>
      <c r="G15" s="18" t="n">
        <v>25</v>
      </c>
    </row>
    <row r="16">
      <c r="A16" t="inlineStr">
        <is>
          <t>claude-opus-4-8</t>
        </is>
      </c>
      <c r="B16" t="inlineStr">
        <is>
          <t>Claude Opus 4.8</t>
        </is>
      </c>
      <c r="C16" s="18" t="n">
        <v>5</v>
      </c>
      <c r="D16" s="18" t="n">
        <v>6.25</v>
      </c>
      <c r="E16" s="18" t="n">
        <v>10</v>
      </c>
      <c r="F16" s="18" t="n">
        <v>0.5</v>
      </c>
      <c r="G16" s="18" t="n">
        <v>25</v>
      </c>
    </row>
    <row r="17">
      <c r="A17" t="inlineStr">
        <is>
          <t>claude-opus-5</t>
        </is>
      </c>
      <c r="B17" t="inlineStr">
        <is>
          <t>Claude Opus 5</t>
        </is>
      </c>
      <c r="C17" s="18" t="n">
        <v>5</v>
      </c>
      <c r="D17" s="18" t="n">
        <v>6.25</v>
      </c>
      <c r="E17" s="18" t="n">
        <v>10</v>
      </c>
      <c r="F17" s="18" t="n">
        <v>0.5</v>
      </c>
      <c r="G17" s="18" t="n">
        <v>25</v>
      </c>
    </row>
    <row r="18">
      <c r="A18" t="inlineStr">
        <is>
          <t>claude-opus-5-5</t>
        </is>
      </c>
      <c r="B18" t="inlineStr">
        <is>
          <t>Claude Opus 5.5</t>
        </is>
      </c>
      <c r="C18" s="18" t="n">
        <v>4</v>
      </c>
      <c r="D18" s="18" t="n">
        <v>5</v>
      </c>
      <c r="E18" s="18" t="n">
        <v>8</v>
      </c>
      <c r="F18" s="18" t="n">
        <v>0.2</v>
      </c>
      <c r="G18" s="18" t="n">
        <v>20</v>
      </c>
    </row>
    <row r="19">
      <c r="A19" t="inlineStr">
        <is>
          <t>claude-sonnet-4</t>
        </is>
      </c>
      <c r="B19" t="inlineStr">
        <is>
          <t>Claude Sonnet 4</t>
        </is>
      </c>
      <c r="C19" s="18" t="n">
        <v>3</v>
      </c>
      <c r="D19" s="18" t="n">
        <v>3.75</v>
      </c>
      <c r="E19" s="18" t="n">
        <v>6</v>
      </c>
      <c r="F19" s="18" t="n">
        <v>0.3</v>
      </c>
      <c r="G19" s="18" t="n">
        <v>15</v>
      </c>
    </row>
    <row r="20">
      <c r="A20" t="inlineStr">
        <is>
          <t>claude-sonnet-4-5</t>
        </is>
      </c>
      <c r="B20" t="inlineStr">
        <is>
          <t>Claude Sonnet 4.5</t>
        </is>
      </c>
      <c r="C20" s="18" t="n">
        <v>3</v>
      </c>
      <c r="D20" s="18" t="n">
        <v>3.75</v>
      </c>
      <c r="E20" s="18" t="n">
        <v>6</v>
      </c>
      <c r="F20" s="18" t="n">
        <v>0.3</v>
      </c>
      <c r="G20" s="18" t="n">
        <v>15</v>
      </c>
    </row>
    <row r="21">
      <c r="A21" t="inlineStr">
        <is>
          <t>claude-sonnet-4-6</t>
        </is>
      </c>
      <c r="B21" t="inlineStr">
        <is>
          <t>Claude Sonnet 4.6</t>
        </is>
      </c>
      <c r="C21" s="18" t="n">
        <v>3</v>
      </c>
      <c r="D21" s="18" t="n">
        <v>3.75</v>
      </c>
      <c r="E21" s="18" t="n">
        <v>6</v>
      </c>
      <c r="F21" s="18" t="n">
        <v>0.3</v>
      </c>
      <c r="G21" s="18" t="n">
        <v>15</v>
      </c>
    </row>
    <row r="22">
      <c r="A22" t="inlineStr">
        <is>
          <t>claude-sonnet-5</t>
        </is>
      </c>
      <c r="B22" t="inlineStr">
        <is>
          <t>Claude Sonnet 5</t>
        </is>
      </c>
      <c r="C22" s="18" t="n">
        <v>2</v>
      </c>
      <c r="D22" s="18" t="n">
        <v>2.5</v>
      </c>
      <c r="E22" s="18" t="n">
        <v>4</v>
      </c>
      <c r="F22" s="18" t="n">
        <v>0.2</v>
      </c>
      <c r="G22" s="18" t="n">
        <v>10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9" customWidth="1" min="3" max="3"/>
    <col width="30" customWidth="1" min="4" max="4"/>
    <col width="26" customWidth="1" min="5" max="5"/>
    <col width="22" customWidth="1" min="6" max="6"/>
    <col width="17" customWidth="1" min="7" max="7"/>
    <col width="17" customWidth="1" min="8" max="8"/>
    <col width="9" customWidth="1" min="9" max="9"/>
    <col width="14" customWidth="1" min="10" max="10"/>
    <col width="14" customWidth="1" min="11" max="11"/>
    <col width="14" customWidth="1" min="12" max="12"/>
    <col width="16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Claude API calls by work item and model</t>
        </is>
      </c>
    </row>
    <row r="2">
      <c r="A2" t="inlineStr">
        <is>
          <t>From the token ledger (claude_usage.csv). Cost = tokens x the Claude Prices sheet; models with no price cost 0.</t>
        </is>
      </c>
    </row>
    <row r="4">
      <c r="A4" s="3" t="inlineStr">
        <is>
          <t>Kind</t>
        </is>
      </c>
      <c r="B4" s="3" t="inlineStr">
        <is>
          <t>Work item</t>
        </is>
      </c>
      <c r="C4" s="3" t="inlineStr">
        <is>
          <t>Story no</t>
        </is>
      </c>
      <c r="D4" s="3" t="inlineStr">
        <is>
          <t>Title</t>
        </is>
      </c>
      <c r="E4" s="3" t="inlineStr">
        <is>
          <t>Model</t>
        </is>
      </c>
      <c r="F4" s="3" t="inlineStr">
        <is>
          <t>Pricing model</t>
        </is>
      </c>
      <c r="G4" s="3" t="inlineStr">
        <is>
          <t>First call</t>
        </is>
      </c>
      <c r="H4" s="3" t="inlineStr">
        <is>
          <t>Last call</t>
        </is>
      </c>
      <c r="I4" s="3" t="inlineStr">
        <is>
          <t>Calls</t>
        </is>
      </c>
      <c r="J4" s="3" t="inlineStr">
        <is>
          <t>Input tokens</t>
        </is>
      </c>
      <c r="K4" s="3" t="inlineStr">
        <is>
          <t>Cache write 5m tokens</t>
        </is>
      </c>
      <c r="L4" s="3" t="inlineStr">
        <is>
          <t>Cache write 1h tokens</t>
        </is>
      </c>
      <c r="M4" s="3" t="inlineStr">
        <is>
          <t>Cache read tokens</t>
        </is>
      </c>
      <c r="N4" s="3" t="inlineStr">
        <is>
          <t>Output tokens</t>
        </is>
      </c>
      <c r="O4" s="3" t="inlineStr">
        <is>
          <t>Cost (USD)</t>
        </is>
      </c>
      <c r="P4" s="3" t="inlineStr">
        <is>
          <t>Cost (USD)</t>
        </is>
      </c>
    </row>
    <row r="5">
      <c r="A5" t="inlineStr">
        <is>
          <t>planning</t>
        </is>
      </c>
      <c r="B5" t="inlineStr">
        <is>
          <t>brainstorming</t>
        </is>
      </c>
      <c r="C5" t="inlineStr"/>
      <c r="D5" t="inlineStr"/>
      <c r="E5" t="inlineStr">
        <is>
          <t>claude-opus-5-5</t>
        </is>
      </c>
      <c r="F5" t="inlineStr">
        <is>
          <t>claude-opus-5-5</t>
        </is>
      </c>
      <c r="G5" s="21" t="n">
        <v>46209.38194444445</v>
      </c>
      <c r="H5" s="21" t="n">
        <v>46209.48611111111</v>
      </c>
      <c r="I5" s="22" t="n">
        <v>42</v>
      </c>
      <c r="J5" s="22" t="n">
        <v>9000</v>
      </c>
      <c r="K5" s="22" t="n">
        <v>120000</v>
      </c>
      <c r="L5" s="22" t="n">
        <v>380000</v>
      </c>
      <c r="M5" s="22" t="n">
        <v>6100000</v>
      </c>
      <c r="N5" s="22" t="n">
        <v>95000</v>
      </c>
      <c r="O5" s="10">
        <f>IFERROR((J5*VLOOKUP($F5,'Claude Prices'!$A$5:$G$22,3,FALSE)+K5*VLOOKUP($F5,'Claude Prices'!$A$5:$G$22,4,FALSE)+L5*VLOOKUP($F5,'Claude Prices'!$A$5:$G$22,5,FALSE)+M5*VLOOKUP($F5,'Claude Prices'!$A$5:$G$22,6,FALSE)+N5*VLOOKUP($F5,'Claude Prices'!$A$5:$G$22,7,FALSE))/1000000,0)</f>
        <v/>
      </c>
      <c r="P5" s="10">
        <f>O5*ClaudeFxRate</f>
        <v/>
      </c>
    </row>
    <row r="6">
      <c r="A6" t="inlineStr">
        <is>
          <t>planning</t>
        </is>
      </c>
      <c r="B6" t="inlineStr">
        <is>
          <t>spec</t>
        </is>
      </c>
      <c r="C6" t="inlineStr"/>
      <c r="D6" t="inlineStr"/>
      <c r="E6" t="inlineStr">
        <is>
          <t>claude-opus-5-5</t>
        </is>
      </c>
      <c r="F6" t="inlineStr">
        <is>
          <t>claude-opus-5-5</t>
        </is>
      </c>
      <c r="G6" s="21" t="n">
        <v>46210.35416666666</v>
      </c>
      <c r="H6" s="21" t="n">
        <v>46212.67013888889</v>
      </c>
      <c r="I6" s="22" t="n">
        <v>118</v>
      </c>
      <c r="J6" s="22" t="n">
        <v>21000</v>
      </c>
      <c r="K6" s="22" t="n">
        <v>300000</v>
      </c>
      <c r="L6" s="22" t="n">
        <v>1250000</v>
      </c>
      <c r="M6" s="22" t="n">
        <v>21400000</v>
      </c>
      <c r="N6" s="22" t="n">
        <v>310000</v>
      </c>
      <c r="O6" s="10">
        <f>IFERROR((J6*VLOOKUP($F6,'Claude Prices'!$A$5:$G$22,3,FALSE)+K6*VLOOKUP($F6,'Claude Prices'!$A$5:$G$22,4,FALSE)+L6*VLOOKUP($F6,'Claude Prices'!$A$5:$G$22,5,FALSE)+M6*VLOOKUP($F6,'Claude Prices'!$A$5:$G$22,6,FALSE)+N6*VLOOKUP($F6,'Claude Prices'!$A$5:$G$22,7,FALSE))/1000000,0)</f>
        <v/>
      </c>
      <c r="P6" s="10">
        <f>O6*ClaudeFxRate</f>
        <v/>
      </c>
    </row>
    <row r="7">
      <c r="A7" t="inlineStr">
        <is>
          <t>planning</t>
        </is>
      </c>
      <c r="B7" t="inlineStr">
        <is>
          <t>architecture</t>
        </is>
      </c>
      <c r="C7" t="inlineStr"/>
      <c r="D7" t="inlineStr"/>
      <c r="E7" t="inlineStr">
        <is>
          <t>claude-opus-5-5</t>
        </is>
      </c>
      <c r="F7" t="inlineStr">
        <is>
          <t>claude-opus-5-5</t>
        </is>
      </c>
      <c r="G7" s="21" t="n">
        <v>46216.375</v>
      </c>
      <c r="H7" s="21" t="n">
        <v>46223.72916666666</v>
      </c>
      <c r="I7" s="22" t="n">
        <v>356</v>
      </c>
      <c r="J7" s="22" t="n">
        <v>64000</v>
      </c>
      <c r="K7" s="22" t="n">
        <v>820000</v>
      </c>
      <c r="L7" s="22" t="n">
        <v>3900000</v>
      </c>
      <c r="M7" s="22" t="n">
        <v>68200000</v>
      </c>
      <c r="N7" s="22" t="n">
        <v>905000</v>
      </c>
      <c r="O7" s="10">
        <f>IFERROR((J7*VLOOKUP($F7,'Claude Prices'!$A$5:$G$22,3,FALSE)+K7*VLOOKUP($F7,'Claude Prices'!$A$5:$G$22,4,FALSE)+L7*VLOOKUP($F7,'Claude Prices'!$A$5:$G$22,5,FALSE)+M7*VLOOKUP($F7,'Claude Prices'!$A$5:$G$22,6,FALSE)+N7*VLOOKUP($F7,'Claude Prices'!$A$5:$G$22,7,FALSE))/1000000,0)</f>
        <v/>
      </c>
      <c r="P7" s="10">
        <f>O7*ClaudeFxRate</f>
        <v/>
      </c>
    </row>
    <row r="8">
      <c r="A8" t="inlineStr">
        <is>
          <t>planning</t>
        </is>
      </c>
      <c r="B8" t="inlineStr">
        <is>
          <t>UX design</t>
        </is>
      </c>
      <c r="C8" t="inlineStr"/>
      <c r="D8" t="inlineStr"/>
      <c r="E8" t="inlineStr">
        <is>
          <t>claude-sonnet-5</t>
        </is>
      </c>
      <c r="F8" t="inlineStr">
        <is>
          <t>claude-sonnet-5</t>
        </is>
      </c>
      <c r="G8" s="21" t="n">
        <v>46224.38541666666</v>
      </c>
      <c r="H8" s="21" t="n">
        <v>46227.625</v>
      </c>
      <c r="I8" s="22" t="n">
        <v>164</v>
      </c>
      <c r="J8" s="22" t="n">
        <v>30000</v>
      </c>
      <c r="K8" s="22" t="n">
        <v>410000</v>
      </c>
      <c r="L8" s="22" t="n">
        <v>1500000</v>
      </c>
      <c r="M8" s="22" t="n">
        <v>24800000</v>
      </c>
      <c r="N8" s="22" t="n">
        <v>420000</v>
      </c>
      <c r="O8" s="10">
        <f>IFERROR((J8*VLOOKUP($F8,'Claude Prices'!$A$5:$G$22,3,FALSE)+K8*VLOOKUP($F8,'Claude Prices'!$A$5:$G$22,4,FALSE)+L8*VLOOKUP($F8,'Claude Prices'!$A$5:$G$22,5,FALSE)+M8*VLOOKUP($F8,'Claude Prices'!$A$5:$G$22,6,FALSE)+N8*VLOOKUP($F8,'Claude Prices'!$A$5:$G$22,7,FALSE))/1000000,0)</f>
        <v/>
      </c>
      <c r="P8" s="10">
        <f>O8*ClaudeFxRate</f>
        <v/>
      </c>
    </row>
    <row r="9">
      <c r="A9" t="inlineStr">
        <is>
          <t>planning</t>
        </is>
      </c>
      <c r="B9" t="inlineStr">
        <is>
          <t>epics &amp; stories</t>
        </is>
      </c>
      <c r="C9" t="inlineStr"/>
      <c r="D9" t="inlineStr"/>
      <c r="E9" t="inlineStr">
        <is>
          <t>claude-sonnet-5</t>
        </is>
      </c>
      <c r="F9" t="inlineStr">
        <is>
          <t>claude-sonnet-5</t>
        </is>
      </c>
      <c r="G9" s="21" t="n">
        <v>46230.41666666666</v>
      </c>
      <c r="H9" s="21" t="n">
        <v>46231.71527777778</v>
      </c>
      <c r="I9" s="22" t="n">
        <v>97</v>
      </c>
      <c r="J9" s="22" t="n">
        <v>18000</v>
      </c>
      <c r="K9" s="22" t="n">
        <v>260000</v>
      </c>
      <c r="L9" s="22" t="n">
        <v>900000</v>
      </c>
      <c r="M9" s="22" t="n">
        <v>14600000</v>
      </c>
      <c r="N9" s="22" t="n">
        <v>260000</v>
      </c>
      <c r="O9" s="10">
        <f>IFERROR((J9*VLOOKUP($F9,'Claude Prices'!$A$5:$G$22,3,FALSE)+K9*VLOOKUP($F9,'Claude Prices'!$A$5:$G$22,4,FALSE)+L9*VLOOKUP($F9,'Claude Prices'!$A$5:$G$22,5,FALSE)+M9*VLOOKUP($F9,'Claude Prices'!$A$5:$G$22,6,FALSE)+N9*VLOOKUP($F9,'Claude Prices'!$A$5:$G$22,7,FALSE))/1000000,0)</f>
        <v/>
      </c>
      <c r="P9" s="10">
        <f>O9*ClaudeFxRate</f>
        <v/>
      </c>
    </row>
    <row r="10">
      <c r="A10" t="inlineStr">
        <is>
          <t>planning</t>
        </is>
      </c>
      <c r="B10" t="inlineStr">
        <is>
          <t>governance (Jules)</t>
        </is>
      </c>
      <c r="C10" t="inlineStr"/>
      <c r="D10" t="inlineStr"/>
      <c r="E10" t="inlineStr">
        <is>
          <t>claude-opus-5-5</t>
        </is>
      </c>
      <c r="F10" t="inlineStr">
        <is>
          <t>claude-opus-5-5</t>
        </is>
      </c>
      <c r="G10" s="21" t="n">
        <v>46224.54166666666</v>
      </c>
      <c r="H10" s="21" t="n">
        <v>46259.47222222222</v>
      </c>
      <c r="I10" s="22" t="n">
        <v>88</v>
      </c>
      <c r="J10" s="22" t="n">
        <v>15000</v>
      </c>
      <c r="K10" s="22" t="n">
        <v>210000</v>
      </c>
      <c r="L10" s="22" t="n">
        <v>760000</v>
      </c>
      <c r="M10" s="22" t="n">
        <v>12500000</v>
      </c>
      <c r="N10" s="22" t="n">
        <v>180000</v>
      </c>
      <c r="O10" s="10">
        <f>IFERROR((J10*VLOOKUP($F10,'Claude Prices'!$A$5:$G$22,3,FALSE)+K10*VLOOKUP($F10,'Claude Prices'!$A$5:$G$22,4,FALSE)+L10*VLOOKUP($F10,'Claude Prices'!$A$5:$G$22,5,FALSE)+M10*VLOOKUP($F10,'Claude Prices'!$A$5:$G$22,6,FALSE)+N10*VLOOKUP($F10,'Claude Prices'!$A$5:$G$22,7,FALSE))/1000000,0)</f>
        <v/>
      </c>
      <c r="P10" s="10">
        <f>O10*ClaudeFxRate</f>
        <v/>
      </c>
    </row>
    <row r="11">
      <c r="A11" t="inlineStr">
        <is>
          <t>planning</t>
        </is>
      </c>
      <c r="B11" t="inlineStr">
        <is>
          <t>diagrams &amp; design docs (Leonardo)</t>
        </is>
      </c>
      <c r="C11" t="inlineStr"/>
      <c r="D11" t="inlineStr"/>
      <c r="E11" t="inlineStr">
        <is>
          <t>claude-opus-5-5</t>
        </is>
      </c>
      <c r="F11" t="inlineStr">
        <is>
          <t>claude-opus-5-5</t>
        </is>
      </c>
      <c r="G11" s="21" t="n">
        <v>46224.41666666666</v>
      </c>
      <c r="H11" s="21" t="n">
        <v>46226.5</v>
      </c>
      <c r="I11" s="22" t="n">
        <v>61</v>
      </c>
      <c r="J11" s="22" t="n">
        <v>11000</v>
      </c>
      <c r="K11" s="22" t="n">
        <v>150000</v>
      </c>
      <c r="L11" s="22" t="n">
        <v>520000</v>
      </c>
      <c r="M11" s="22" t="n">
        <v>8700000</v>
      </c>
      <c r="N11" s="22" t="n">
        <v>140000</v>
      </c>
      <c r="O11" s="10">
        <f>IFERROR((J11*VLOOKUP($F11,'Claude Prices'!$A$5:$G$22,3,FALSE)+K11*VLOOKUP($F11,'Claude Prices'!$A$5:$G$22,4,FALSE)+L11*VLOOKUP($F11,'Claude Prices'!$A$5:$G$22,5,FALSE)+M11*VLOOKUP($F11,'Claude Prices'!$A$5:$G$22,6,FALSE)+N11*VLOOKUP($F11,'Claude Prices'!$A$5:$G$22,7,FALSE))/1000000,0)</f>
        <v/>
      </c>
      <c r="P11" s="10">
        <f>O11*ClaudeFxRate</f>
        <v/>
      </c>
    </row>
    <row r="12">
      <c r="A12" t="inlineStr">
        <is>
          <t>story</t>
        </is>
      </c>
      <c r="B12" t="inlineStr">
        <is>
          <t>FAL-11</t>
        </is>
      </c>
      <c r="C12" t="inlineStr">
        <is>
          <t>1.1</t>
        </is>
      </c>
      <c r="D12" t="inlineStr">
        <is>
          <t>Sign in with Entra ID</t>
        </is>
      </c>
      <c r="E12" t="inlineStr">
        <is>
          <t>claude-sonnet-5</t>
        </is>
      </c>
      <c r="F12" t="inlineStr">
        <is>
          <t>claude-sonnet-5</t>
        </is>
      </c>
      <c r="G12" s="21" t="n">
        <v>46232.375</v>
      </c>
      <c r="H12" s="21" t="n">
        <v>46234.70833333334</v>
      </c>
      <c r="I12" s="22" t="n">
        <v>212</v>
      </c>
      <c r="J12" s="22" t="n">
        <v>40000</v>
      </c>
      <c r="K12" s="22" t="n">
        <v>500000</v>
      </c>
      <c r="L12" s="22" t="n">
        <v>2100000</v>
      </c>
      <c r="M12" s="22" t="n">
        <v>33900000</v>
      </c>
      <c r="N12" s="22" t="n">
        <v>520000</v>
      </c>
      <c r="O12" s="10">
        <f>IFERROR((J12*VLOOKUP($F12,'Claude Prices'!$A$5:$G$22,3,FALSE)+K12*VLOOKUP($F12,'Claude Prices'!$A$5:$G$22,4,FALSE)+L12*VLOOKUP($F12,'Claude Prices'!$A$5:$G$22,5,FALSE)+M12*VLOOKUP($F12,'Claude Prices'!$A$5:$G$22,6,FALSE)+N12*VLOOKUP($F12,'Claude Prices'!$A$5:$G$22,7,FALSE))/1000000,0)</f>
        <v/>
      </c>
      <c r="P12" s="10">
        <f>O12*ClaudeFxRate</f>
        <v/>
      </c>
    </row>
    <row r="13">
      <c r="A13" t="inlineStr">
        <is>
          <t>story</t>
        </is>
      </c>
      <c r="B13" t="inlineStr">
        <is>
          <t>FAL-12</t>
        </is>
      </c>
      <c r="C13" t="inlineStr">
        <is>
          <t>1.2</t>
        </is>
      </c>
      <c r="D13" t="inlineStr">
        <is>
          <t>Start an application</t>
        </is>
      </c>
      <c r="E13" t="inlineStr">
        <is>
          <t>claude-sonnet-5</t>
        </is>
      </c>
      <c r="F13" t="inlineStr">
        <is>
          <t>claude-sonnet-5</t>
        </is>
      </c>
      <c r="G13" s="21" t="n">
        <v>46237.375</v>
      </c>
      <c r="H13" s="21" t="n">
        <v>46241.6875</v>
      </c>
      <c r="I13" s="22" t="n">
        <v>305</v>
      </c>
      <c r="J13" s="22" t="n">
        <v>57000</v>
      </c>
      <c r="K13" s="22" t="n">
        <v>720000</v>
      </c>
      <c r="L13" s="22" t="n">
        <v>3000000</v>
      </c>
      <c r="M13" s="22" t="n">
        <v>48700000</v>
      </c>
      <c r="N13" s="22" t="n">
        <v>760000</v>
      </c>
      <c r="O13" s="10">
        <f>IFERROR((J13*VLOOKUP($F13,'Claude Prices'!$A$5:$G$22,3,FALSE)+K13*VLOOKUP($F13,'Claude Prices'!$A$5:$G$22,4,FALSE)+L13*VLOOKUP($F13,'Claude Prices'!$A$5:$G$22,5,FALSE)+M13*VLOOKUP($F13,'Claude Prices'!$A$5:$G$22,6,FALSE)+N13*VLOOKUP($F13,'Claude Prices'!$A$5:$G$22,7,FALSE))/1000000,0)</f>
        <v/>
      </c>
      <c r="P13" s="10">
        <f>O13*ClaudeFxRate</f>
        <v/>
      </c>
    </row>
    <row r="14">
      <c r="A14" t="inlineStr">
        <is>
          <t>story</t>
        </is>
      </c>
      <c r="B14" t="inlineStr">
        <is>
          <t>FAL-13</t>
        </is>
      </c>
      <c r="C14" t="inlineStr">
        <is>
          <t>1.3</t>
        </is>
      </c>
      <c r="D14" t="inlineStr">
        <is>
          <t>Upload documents</t>
        </is>
      </c>
      <c r="E14" t="inlineStr">
        <is>
          <t>claude-sonnet-5</t>
        </is>
      </c>
      <c r="F14" t="inlineStr">
        <is>
          <t>claude-sonnet-5</t>
        </is>
      </c>
      <c r="G14" s="21" t="n">
        <v>46244.375</v>
      </c>
      <c r="H14" s="21" t="n">
        <v>46247.73958333334</v>
      </c>
      <c r="I14" s="22" t="n">
        <v>248</v>
      </c>
      <c r="J14" s="22" t="n">
        <v>46000</v>
      </c>
      <c r="K14" s="22" t="n">
        <v>600000</v>
      </c>
      <c r="L14" s="22" t="n">
        <v>2500000</v>
      </c>
      <c r="M14" s="22" t="n">
        <v>40100000</v>
      </c>
      <c r="N14" s="22" t="n">
        <v>610000</v>
      </c>
      <c r="O14" s="10">
        <f>IFERROR((J14*VLOOKUP($F14,'Claude Prices'!$A$5:$G$22,3,FALSE)+K14*VLOOKUP($F14,'Claude Prices'!$A$5:$G$22,4,FALSE)+L14*VLOOKUP($F14,'Claude Prices'!$A$5:$G$22,5,FALSE)+M14*VLOOKUP($F14,'Claude Prices'!$A$5:$G$22,6,FALSE)+N14*VLOOKUP($F14,'Claude Prices'!$A$5:$G$22,7,FALSE))/1000000,0)</f>
        <v/>
      </c>
      <c r="P14" s="10">
        <f>O14*ClaudeFxRate</f>
        <v/>
      </c>
    </row>
    <row r="15">
      <c r="A15" t="inlineStr">
        <is>
          <t>story</t>
        </is>
      </c>
      <c r="B15" t="inlineStr">
        <is>
          <t>FAL-13</t>
        </is>
      </c>
      <c r="C15" t="inlineStr">
        <is>
          <t>1.3</t>
        </is>
      </c>
      <c r="D15" t="inlineStr">
        <is>
          <t>Upload documents</t>
        </is>
      </c>
      <c r="E15" t="inlineStr">
        <is>
          <t>claude-haiku-4-5-20251001</t>
        </is>
      </c>
      <c r="F15" t="inlineStr">
        <is>
          <t>claude-haiku-4-5</t>
        </is>
      </c>
      <c r="G15" s="21" t="n">
        <v>46245.41666666666</v>
      </c>
      <c r="H15" s="21" t="n">
        <v>46246.5</v>
      </c>
      <c r="I15" s="22" t="n">
        <v>96</v>
      </c>
      <c r="J15" s="22" t="n">
        <v>18000</v>
      </c>
      <c r="K15" s="22" t="n">
        <v>90000</v>
      </c>
      <c r="L15" s="22" t="n">
        <v>300000</v>
      </c>
      <c r="M15" s="22" t="n">
        <v>6200000</v>
      </c>
      <c r="N15" s="22" t="n">
        <v>70000</v>
      </c>
      <c r="O15" s="10">
        <f>IFERROR((J15*VLOOKUP($F15,'Claude Prices'!$A$5:$G$22,3,FALSE)+K15*VLOOKUP($F15,'Claude Prices'!$A$5:$G$22,4,FALSE)+L15*VLOOKUP($F15,'Claude Prices'!$A$5:$G$22,5,FALSE)+M15*VLOOKUP($F15,'Claude Prices'!$A$5:$G$22,6,FALSE)+N15*VLOOKUP($F15,'Claude Prices'!$A$5:$G$22,7,FALSE))/1000000,0)</f>
        <v/>
      </c>
      <c r="P15" s="10">
        <f>O15*ClaudeFxRate</f>
        <v/>
      </c>
    </row>
    <row r="16">
      <c r="A16" t="inlineStr">
        <is>
          <t>story</t>
        </is>
      </c>
      <c r="B16" t="inlineStr">
        <is>
          <t>FAL-21</t>
        </is>
      </c>
      <c r="C16" t="inlineStr">
        <is>
          <t>2.1</t>
        </is>
      </c>
      <c r="D16" t="inlineStr">
        <is>
          <t>Review queue</t>
        </is>
      </c>
      <c r="E16" t="inlineStr">
        <is>
          <t>claude-sonnet-5</t>
        </is>
      </c>
      <c r="F16" t="inlineStr">
        <is>
          <t>claude-sonnet-5</t>
        </is>
      </c>
      <c r="G16" s="21" t="n">
        <v>46251.375</v>
      </c>
      <c r="H16" s="21" t="n">
        <v>46255.70833333334</v>
      </c>
      <c r="I16" s="22" t="n">
        <v>289</v>
      </c>
      <c r="J16" s="22" t="n">
        <v>54000</v>
      </c>
      <c r="K16" s="22" t="n">
        <v>690000</v>
      </c>
      <c r="L16" s="22" t="n">
        <v>2900000</v>
      </c>
      <c r="M16" s="22" t="n">
        <v>46300000</v>
      </c>
      <c r="N16" s="22" t="n">
        <v>710000</v>
      </c>
      <c r="O16" s="10">
        <f>IFERROR((J16*VLOOKUP($F16,'Claude Prices'!$A$5:$G$22,3,FALSE)+K16*VLOOKUP($F16,'Claude Prices'!$A$5:$G$22,4,FALSE)+L16*VLOOKUP($F16,'Claude Prices'!$A$5:$G$22,5,FALSE)+M16*VLOOKUP($F16,'Claude Prices'!$A$5:$G$22,6,FALSE)+N16*VLOOKUP($F16,'Claude Prices'!$A$5:$G$22,7,FALSE))/1000000,0)</f>
        <v/>
      </c>
      <c r="P16" s="10">
        <f>O16*ClaudeFxRate</f>
        <v/>
      </c>
    </row>
    <row r="17">
      <c r="A17" t="inlineStr">
        <is>
          <t>story</t>
        </is>
      </c>
      <c r="B17" t="inlineStr">
        <is>
          <t>FAL-22</t>
        </is>
      </c>
      <c r="C17" t="inlineStr">
        <is>
          <t>2.2</t>
        </is>
      </c>
      <c r="D17" t="inlineStr">
        <is>
          <t>Approve or reject</t>
        </is>
      </c>
      <c r="E17" t="inlineStr">
        <is>
          <t>claude-sonnet-5</t>
        </is>
      </c>
      <c r="F17" t="inlineStr">
        <is>
          <t>claude-sonnet-5</t>
        </is>
      </c>
      <c r="G17" s="21" t="n">
        <v>46258.375</v>
      </c>
      <c r="H17" s="21" t="n">
        <v>46262.63888888889</v>
      </c>
      <c r="I17" s="22" t="n">
        <v>231</v>
      </c>
      <c r="J17" s="22" t="n">
        <v>43000</v>
      </c>
      <c r="K17" s="22" t="n">
        <v>560000</v>
      </c>
      <c r="L17" s="22" t="n">
        <v>2300000</v>
      </c>
      <c r="M17" s="22" t="n">
        <v>37000000</v>
      </c>
      <c r="N17" s="22" t="n">
        <v>570000</v>
      </c>
      <c r="O17" s="10">
        <f>IFERROR((J17*VLOOKUP($F17,'Claude Prices'!$A$5:$G$22,3,FALSE)+K17*VLOOKUP($F17,'Claude Prices'!$A$5:$G$22,4,FALSE)+L17*VLOOKUP($F17,'Claude Prices'!$A$5:$G$22,5,FALSE)+M17*VLOOKUP($F17,'Claude Prices'!$A$5:$G$22,6,FALSE)+N17*VLOOKUP($F17,'Claude Prices'!$A$5:$G$22,7,FALSE))/1000000,0)</f>
        <v/>
      </c>
      <c r="P17" s="10">
        <f>O17*ClaudeFxRate</f>
        <v/>
      </c>
    </row>
    <row r="18">
      <c r="A18" t="inlineStr">
        <is>
          <t>story</t>
        </is>
      </c>
      <c r="B18" t="inlineStr">
        <is>
          <t>FAL-23</t>
        </is>
      </c>
      <c r="C18" t="inlineStr">
        <is>
          <t>2.3</t>
        </is>
      </c>
      <c r="D18" t="inlineStr">
        <is>
          <t>Notify the customer</t>
        </is>
      </c>
      <c r="E18" t="inlineStr">
        <is>
          <t>claude-sonnet-5</t>
        </is>
      </c>
      <c r="F18" t="inlineStr">
        <is>
          <t>claude-sonnet-5</t>
        </is>
      </c>
      <c r="G18" s="21" t="n">
        <v>46265.375</v>
      </c>
      <c r="H18" s="21" t="n">
        <v>46268.66666666666</v>
      </c>
      <c r="I18" s="22" t="n">
        <v>174</v>
      </c>
      <c r="J18" s="22" t="n">
        <v>32000</v>
      </c>
      <c r="K18" s="22" t="n">
        <v>420000</v>
      </c>
      <c r="L18" s="22" t="n">
        <v>1700000</v>
      </c>
      <c r="M18" s="22" t="n">
        <v>27800000</v>
      </c>
      <c r="N18" s="22" t="n">
        <v>430000</v>
      </c>
      <c r="O18" s="10">
        <f>IFERROR((J18*VLOOKUP($F18,'Claude Prices'!$A$5:$G$22,3,FALSE)+K18*VLOOKUP($F18,'Claude Prices'!$A$5:$G$22,4,FALSE)+L18*VLOOKUP($F18,'Claude Prices'!$A$5:$G$22,5,FALSE)+M18*VLOOKUP($F18,'Claude Prices'!$A$5:$G$22,6,FALSE)+N18*VLOOKUP($F18,'Claude Prices'!$A$5:$G$22,7,FALSE))/1000000,0)</f>
        <v/>
      </c>
      <c r="P18" s="10">
        <f>O18*ClaudeFxRate</f>
        <v/>
      </c>
    </row>
    <row r="19">
      <c r="A19" t="inlineStr">
        <is>
          <t>ops</t>
        </is>
      </c>
      <c r="B19" t="inlineStr">
        <is>
          <t>merges, promotions &amp; deploys</t>
        </is>
      </c>
      <c r="C19" t="inlineStr"/>
      <c r="D19" t="inlineStr"/>
      <c r="E19" t="inlineStr">
        <is>
          <t>claude-haiku-4-5-20251001</t>
        </is>
      </c>
      <c r="F19" t="inlineStr">
        <is>
          <t>claude-haiku-4-5</t>
        </is>
      </c>
      <c r="G19" s="21" t="n">
        <v>46234.625</v>
      </c>
      <c r="H19" s="21" t="n">
        <v>46269.75</v>
      </c>
      <c r="I19" s="22" t="n">
        <v>133</v>
      </c>
      <c r="J19" s="22" t="n">
        <v>25000</v>
      </c>
      <c r="K19" s="22" t="n">
        <v>110000</v>
      </c>
      <c r="L19" s="22" t="n">
        <v>420000</v>
      </c>
      <c r="M19" s="22" t="n">
        <v>8600000</v>
      </c>
      <c r="N19" s="22" t="n">
        <v>95000</v>
      </c>
      <c r="O19" s="10">
        <f>IFERROR((J19*VLOOKUP($F19,'Claude Prices'!$A$5:$G$22,3,FALSE)+K19*VLOOKUP($F19,'Claude Prices'!$A$5:$G$22,4,FALSE)+L19*VLOOKUP($F19,'Claude Prices'!$A$5:$G$22,5,FALSE)+M19*VLOOKUP($F19,'Claude Prices'!$A$5:$G$22,6,FALSE)+N19*VLOOKUP($F19,'Claude Prices'!$A$5:$G$22,7,FALSE))/1000000,0)</f>
        <v/>
      </c>
      <c r="P19" s="10">
        <f>O19*ClaudeFxRate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Claude API usage</t>
        </is>
      </c>
    </row>
    <row r="2">
      <c r="A2" t="inlineStr">
        <is>
          <t>API calls and tokens counted from this project's Claude Code logs, costed at Claude API list prices. On a Pro, Max, Team or Enterprise subscription the bill is per seat: this is the API-equivalent cost.</t>
        </is>
      </c>
    </row>
    <row r="4">
      <c r="A4" s="3" t="inlineStr">
        <is>
          <t>Model</t>
        </is>
      </c>
      <c r="B4" s="3" t="inlineStr">
        <is>
          <t>Calls</t>
        </is>
      </c>
      <c r="C4" s="3" t="inlineStr">
        <is>
          <t>Input tokens</t>
        </is>
      </c>
      <c r="D4" s="3" t="inlineStr">
        <is>
          <t>Cache write 5m tokens</t>
        </is>
      </c>
      <c r="E4" s="3" t="inlineStr">
        <is>
          <t>Cache write 1h tokens</t>
        </is>
      </c>
      <c r="F4" s="3" t="inlineStr">
        <is>
          <t>Cache read tokens</t>
        </is>
      </c>
      <c r="G4" s="3" t="inlineStr">
        <is>
          <t>Output tokens</t>
        </is>
      </c>
      <c r="H4" s="3" t="inlineStr">
        <is>
          <t>Cost (USD)</t>
        </is>
      </c>
      <c r="I4" s="3" t="inlineStr">
        <is>
          <t>Cost (USD)</t>
        </is>
      </c>
    </row>
    <row r="5">
      <c r="A5" t="inlineStr">
        <is>
          <t>claude-haiku-4-5-20251001</t>
        </is>
      </c>
      <c r="B5" s="22">
        <f>SUMIFS('Claude Usage Detail'!$I$5:$I$19,'Claude Usage Detail'!$E$5:$E$19,"="&amp;$A5)</f>
        <v/>
      </c>
      <c r="C5" s="22">
        <f>SUMIFS('Claude Usage Detail'!$J$5:$J$19,'Claude Usage Detail'!$E$5:$E$19,"="&amp;$A5)</f>
        <v/>
      </c>
      <c r="D5" s="22">
        <f>SUMIFS('Claude Usage Detail'!$K$5:$K$19,'Claude Usage Detail'!$E$5:$E$19,"="&amp;$A5)</f>
        <v/>
      </c>
      <c r="E5" s="22">
        <f>SUMIFS('Claude Usage Detail'!$L$5:$L$19,'Claude Usage Detail'!$E$5:$E$19,"="&amp;$A5)</f>
        <v/>
      </c>
      <c r="F5" s="22">
        <f>SUMIFS('Claude Usage Detail'!$M$5:$M$19,'Claude Usage Detail'!$E$5:$E$19,"="&amp;$A5)</f>
        <v/>
      </c>
      <c r="G5" s="22">
        <f>SUMIFS('Claude Usage Detail'!$N$5:$N$19,'Claude Usage Detail'!$E$5:$E$19,"="&amp;$A5)</f>
        <v/>
      </c>
      <c r="H5" s="10">
        <f>SUMIFS('Claude Usage Detail'!$O$5:$O$19,'Claude Usage Detail'!$E$5:$E$19,"="&amp;$A5)</f>
        <v/>
      </c>
      <c r="I5" s="10">
        <f>SUMIFS('Claude Usage Detail'!$P$5:$P$19,'Claude Usage Detail'!$E$5:$E$19,"="&amp;$A5)</f>
        <v/>
      </c>
    </row>
    <row r="6">
      <c r="A6" t="inlineStr">
        <is>
          <t>claude-opus-5-5</t>
        </is>
      </c>
      <c r="B6" s="22">
        <f>SUMIFS('Claude Usage Detail'!$I$5:$I$19,'Claude Usage Detail'!$E$5:$E$19,"="&amp;$A6)</f>
        <v/>
      </c>
      <c r="C6" s="22">
        <f>SUMIFS('Claude Usage Detail'!$J$5:$J$19,'Claude Usage Detail'!$E$5:$E$19,"="&amp;$A6)</f>
        <v/>
      </c>
      <c r="D6" s="22">
        <f>SUMIFS('Claude Usage Detail'!$K$5:$K$19,'Claude Usage Detail'!$E$5:$E$19,"="&amp;$A6)</f>
        <v/>
      </c>
      <c r="E6" s="22">
        <f>SUMIFS('Claude Usage Detail'!$L$5:$L$19,'Claude Usage Detail'!$E$5:$E$19,"="&amp;$A6)</f>
        <v/>
      </c>
      <c r="F6" s="22">
        <f>SUMIFS('Claude Usage Detail'!$M$5:$M$19,'Claude Usage Detail'!$E$5:$E$19,"="&amp;$A6)</f>
        <v/>
      </c>
      <c r="G6" s="22">
        <f>SUMIFS('Claude Usage Detail'!$N$5:$N$19,'Claude Usage Detail'!$E$5:$E$19,"="&amp;$A6)</f>
        <v/>
      </c>
      <c r="H6" s="10">
        <f>SUMIFS('Claude Usage Detail'!$O$5:$O$19,'Claude Usage Detail'!$E$5:$E$19,"="&amp;$A6)</f>
        <v/>
      </c>
      <c r="I6" s="10">
        <f>SUMIFS('Claude Usage Detail'!$P$5:$P$19,'Claude Usage Detail'!$E$5:$E$19,"="&amp;$A6)</f>
        <v/>
      </c>
    </row>
    <row r="7">
      <c r="A7" t="inlineStr">
        <is>
          <t>claude-sonnet-5</t>
        </is>
      </c>
      <c r="B7" s="22">
        <f>SUMIFS('Claude Usage Detail'!$I$5:$I$19,'Claude Usage Detail'!$E$5:$E$19,"="&amp;$A7)</f>
        <v/>
      </c>
      <c r="C7" s="22">
        <f>SUMIFS('Claude Usage Detail'!$J$5:$J$19,'Claude Usage Detail'!$E$5:$E$19,"="&amp;$A7)</f>
        <v/>
      </c>
      <c r="D7" s="22">
        <f>SUMIFS('Claude Usage Detail'!$K$5:$K$19,'Claude Usage Detail'!$E$5:$E$19,"="&amp;$A7)</f>
        <v/>
      </c>
      <c r="E7" s="22">
        <f>SUMIFS('Claude Usage Detail'!$L$5:$L$19,'Claude Usage Detail'!$E$5:$E$19,"="&amp;$A7)</f>
        <v/>
      </c>
      <c r="F7" s="22">
        <f>SUMIFS('Claude Usage Detail'!$M$5:$M$19,'Claude Usage Detail'!$E$5:$E$19,"="&amp;$A7)</f>
        <v/>
      </c>
      <c r="G7" s="22">
        <f>SUMIFS('Claude Usage Detail'!$N$5:$N$19,'Claude Usage Detail'!$E$5:$E$19,"="&amp;$A7)</f>
        <v/>
      </c>
      <c r="H7" s="10">
        <f>SUMIFS('Claude Usage Detail'!$O$5:$O$19,'Claude Usage Detail'!$E$5:$E$19,"="&amp;$A7)</f>
        <v/>
      </c>
      <c r="I7" s="10">
        <f>SUMIFS('Claude Usage Detail'!$P$5:$P$19,'Claude Usage Detail'!$E$5:$E$19,"="&amp;$A7)</f>
        <v/>
      </c>
    </row>
    <row r="8">
      <c r="A8" s="12" t="inlineStr">
        <is>
          <t>Total</t>
        </is>
      </c>
      <c r="B8" s="23">
        <f>SUM(B5:B7)</f>
        <v/>
      </c>
      <c r="C8" s="23">
        <f>SUM(C5:C7)</f>
        <v/>
      </c>
      <c r="D8" s="23">
        <f>SUM(D5:D7)</f>
        <v/>
      </c>
      <c r="E8" s="23">
        <f>SUM(E5:E7)</f>
        <v/>
      </c>
      <c r="F8" s="23">
        <f>SUM(F5:F7)</f>
        <v/>
      </c>
      <c r="G8" s="23">
        <f>SUM(G5:G7)</f>
        <v/>
      </c>
      <c r="H8" s="14">
        <f>SUM(H5:H7)</f>
        <v/>
      </c>
      <c r="I8" s="14">
        <f>SUM(I5:I7)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30" customWidth="1" min="3" max="3"/>
    <col width="12" customWidth="1" min="4" max="4"/>
    <col width="12" customWidth="1" min="5" max="5"/>
    <col width="12" customWidth="1" min="6" max="6"/>
    <col width="8" customWidth="1" min="7" max="7"/>
    <col width="14" customWidth="1" min="8" max="8"/>
  </cols>
  <sheetData>
    <row r="1">
      <c r="A1" s="1" t="inlineStr">
        <is>
          <t>Project timeline</t>
        </is>
      </c>
    </row>
    <row r="2">
      <c r="A2" t="inlineStr">
        <is>
          <t>Started 2026-07-06; completed 2026-09-04; 61 calendar days, 45 working days. From git history of the BMad artifacts and sprint status, the agents' sanctums and the token ledger.</t>
        </is>
      </c>
    </row>
    <row r="4">
      <c r="A4" s="3" t="inlineStr">
        <is>
          <t>Category</t>
        </is>
      </c>
      <c r="B4" s="3" t="inlineStr">
        <is>
          <t>Name</t>
        </is>
      </c>
      <c r="C4" s="3" t="inlineStr">
        <is>
          <t>Detail</t>
        </is>
      </c>
      <c r="D4" s="3" t="inlineStr">
        <is>
          <t>Status</t>
        </is>
      </c>
      <c r="E4" s="3" t="inlineStr">
        <is>
          <t>Started</t>
        </is>
      </c>
      <c r="F4" s="3" t="inlineStr">
        <is>
          <t>Completed</t>
        </is>
      </c>
      <c r="G4" s="3" t="inlineStr">
        <is>
          <t>Days</t>
        </is>
      </c>
      <c r="H4" s="3" t="inlineStr">
        <is>
          <t>Source</t>
        </is>
      </c>
    </row>
    <row r="5">
      <c r="A5" t="inlineStr">
        <is>
          <t>project</t>
        </is>
      </c>
      <c r="B5" t="inlineStr">
        <is>
          <t>falcon-portal</t>
        </is>
      </c>
      <c r="C5" t="inlineStr">
        <is>
          <t>45 working days</t>
        </is>
      </c>
      <c r="D5" t="inlineStr">
        <is>
          <t>complete</t>
        </is>
      </c>
      <c r="E5" s="24" t="n">
        <v>46209</v>
      </c>
      <c r="F5" s="24" t="n">
        <v>46269</v>
      </c>
      <c r="G5" t="n">
        <v>61</v>
      </c>
      <c r="H5" t="inlineStr">
        <is>
          <t>summary</t>
        </is>
      </c>
    </row>
    <row r="6">
      <c r="A6" t="inlineStr">
        <is>
          <t>bmad stage</t>
        </is>
      </c>
      <c r="B6" t="inlineStr">
        <is>
          <t>spec / PRD</t>
        </is>
      </c>
      <c r="C6" t="inlineStr">
        <is>
          <t>_bmad-output/specs/SPEC.md</t>
        </is>
      </c>
      <c r="D6" t="inlineStr"/>
      <c r="E6" s="24" t="n">
        <v>46210</v>
      </c>
      <c r="F6" s="24" t="n">
        <v>46212</v>
      </c>
      <c r="G6" t="n">
        <v>3</v>
      </c>
      <c r="H6" t="inlineStr">
        <is>
          <t>git</t>
        </is>
      </c>
    </row>
    <row r="7">
      <c r="A7" t="inlineStr">
        <is>
          <t>bmad stage</t>
        </is>
      </c>
      <c r="B7" t="inlineStr">
        <is>
          <t>architecture</t>
        </is>
      </c>
      <c r="C7" t="inlineStr">
        <is>
          <t>_bmad-output/planning-artifacts/architecture/falcon/ARCHITECTURE-SPINE.md</t>
        </is>
      </c>
      <c r="D7" t="inlineStr"/>
      <c r="E7" s="24" t="n">
        <v>46216</v>
      </c>
      <c r="F7" s="24" t="n">
        <v>46226</v>
      </c>
      <c r="G7" t="n">
        <v>11</v>
      </c>
      <c r="H7" t="inlineStr">
        <is>
          <t>git</t>
        </is>
      </c>
    </row>
    <row r="8">
      <c r="A8" t="inlineStr">
        <is>
          <t>bmad stage</t>
        </is>
      </c>
      <c r="B8" t="inlineStr">
        <is>
          <t>UX design</t>
        </is>
      </c>
      <c r="C8" t="inlineStr">
        <is>
          <t>_bmad-output/planning-artifacts/ux-design.md</t>
        </is>
      </c>
      <c r="D8" t="inlineStr"/>
      <c r="E8" s="24" t="n">
        <v>46224</v>
      </c>
      <c r="F8" s="24" t="n">
        <v>46227</v>
      </c>
      <c r="G8" t="n">
        <v>4</v>
      </c>
      <c r="H8" t="inlineStr">
        <is>
          <t>git</t>
        </is>
      </c>
    </row>
    <row r="9">
      <c r="A9" t="inlineStr">
        <is>
          <t>bmad stage</t>
        </is>
      </c>
      <c r="B9" t="inlineStr">
        <is>
          <t>epics &amp; stories</t>
        </is>
      </c>
      <c r="C9" t="inlineStr">
        <is>
          <t>_bmad-output/planning-artifacts/epics.md</t>
        </is>
      </c>
      <c r="D9" t="inlineStr"/>
      <c r="E9" s="24" t="n">
        <v>46230</v>
      </c>
      <c r="F9" s="24" t="n">
        <v>46231</v>
      </c>
      <c r="G9" t="n">
        <v>2</v>
      </c>
      <c r="H9" t="inlineStr">
        <is>
          <t>git</t>
        </is>
      </c>
    </row>
    <row r="10">
      <c r="A10" t="inlineStr">
        <is>
          <t>bmad stage</t>
        </is>
      </c>
      <c r="B10" t="inlineStr">
        <is>
          <t>sprint status</t>
        </is>
      </c>
      <c r="C10" t="inlineStr">
        <is>
          <t>_bmad-output/implementation-artifacts/sprint-status.yaml</t>
        </is>
      </c>
      <c r="D10" t="inlineStr"/>
      <c r="E10" s="24" t="n">
        <v>46232</v>
      </c>
      <c r="F10" s="24" t="n">
        <v>46269</v>
      </c>
      <c r="G10" t="n">
        <v>38</v>
      </c>
      <c r="H10" t="inlineStr">
        <is>
          <t>git</t>
        </is>
      </c>
    </row>
    <row r="11">
      <c r="A11" t="inlineStr">
        <is>
          <t>agent</t>
        </is>
      </c>
      <c r="B11" t="inlineStr">
        <is>
          <t>agent-jules</t>
        </is>
      </c>
      <c r="C11" t="inlineStr">
        <is>
          <t>6 session logs</t>
        </is>
      </c>
      <c r="D11" t="inlineStr"/>
      <c r="E11" s="24" t="n">
        <v>46224</v>
      </c>
      <c r="F11" s="24" t="n">
        <v>46259</v>
      </c>
      <c r="G11" t="n">
        <v>36</v>
      </c>
      <c r="H11" t="inlineStr">
        <is>
          <t>sanctum</t>
        </is>
      </c>
    </row>
    <row r="12">
      <c r="A12" t="inlineStr">
        <is>
          <t>agent</t>
        </is>
      </c>
      <c r="B12" t="inlineStr">
        <is>
          <t>agent-scrooge</t>
        </is>
      </c>
      <c r="C12" t="inlineStr">
        <is>
          <t>4 session logs</t>
        </is>
      </c>
      <c r="D12" t="inlineStr"/>
      <c r="E12" s="24" t="n">
        <v>46224</v>
      </c>
      <c r="F12" s="24" t="n">
        <v>46269</v>
      </c>
      <c r="G12" t="n">
        <v>46</v>
      </c>
      <c r="H12" t="inlineStr">
        <is>
          <t>sanctum</t>
        </is>
      </c>
    </row>
    <row r="13">
      <c r="A13" t="inlineStr">
        <is>
          <t>epic</t>
        </is>
      </c>
      <c r="B13" t="inlineStr">
        <is>
          <t>epic-1</t>
        </is>
      </c>
      <c r="C13" t="inlineStr">
        <is>
          <t>3 stories</t>
        </is>
      </c>
      <c r="D13" t="inlineStr">
        <is>
          <t>done</t>
        </is>
      </c>
      <c r="E13" s="24" t="n">
        <v>46232</v>
      </c>
      <c r="F13" s="24" t="n">
        <v>46247</v>
      </c>
      <c r="G13" t="n">
        <v>16</v>
      </c>
      <c r="H13" t="inlineStr">
        <is>
          <t>git</t>
        </is>
      </c>
    </row>
    <row r="14">
      <c r="A14" t="inlineStr">
        <is>
          <t>story</t>
        </is>
      </c>
      <c r="B14" t="inlineStr">
        <is>
          <t>1-1-sign-in</t>
        </is>
      </c>
      <c r="C14" t="inlineStr">
        <is>
          <t>epic-1</t>
        </is>
      </c>
      <c r="D14" t="inlineStr">
        <is>
          <t>done</t>
        </is>
      </c>
      <c r="E14" s="24" t="n">
        <v>46232</v>
      </c>
      <c r="F14" s="24" t="n">
        <v>46234</v>
      </c>
      <c r="G14" t="n">
        <v>3</v>
      </c>
      <c r="H14" t="inlineStr">
        <is>
          <t>git</t>
        </is>
      </c>
    </row>
    <row r="15">
      <c r="A15" t="inlineStr">
        <is>
          <t>story</t>
        </is>
      </c>
      <c r="B15" t="inlineStr">
        <is>
          <t>1-2-start-application</t>
        </is>
      </c>
      <c r="C15" t="inlineStr">
        <is>
          <t>epic-1</t>
        </is>
      </c>
      <c r="D15" t="inlineStr">
        <is>
          <t>done</t>
        </is>
      </c>
      <c r="E15" s="24" t="n">
        <v>46237</v>
      </c>
      <c r="F15" s="24" t="n">
        <v>46241</v>
      </c>
      <c r="G15" t="n">
        <v>5</v>
      </c>
      <c r="H15" t="inlineStr">
        <is>
          <t>git</t>
        </is>
      </c>
    </row>
    <row r="16">
      <c r="A16" t="inlineStr">
        <is>
          <t>story</t>
        </is>
      </c>
      <c r="B16" t="inlineStr">
        <is>
          <t>1-3-upload-documents</t>
        </is>
      </c>
      <c r="C16" t="inlineStr">
        <is>
          <t>epic-1</t>
        </is>
      </c>
      <c r="D16" t="inlineStr">
        <is>
          <t>done</t>
        </is>
      </c>
      <c r="E16" s="24" t="n">
        <v>46244</v>
      </c>
      <c r="F16" s="24" t="n">
        <v>46247</v>
      </c>
      <c r="G16" t="n">
        <v>4</v>
      </c>
      <c r="H16" t="inlineStr">
        <is>
          <t>git</t>
        </is>
      </c>
    </row>
    <row r="17">
      <c r="A17" t="inlineStr">
        <is>
          <t>epic</t>
        </is>
      </c>
      <c r="B17" t="inlineStr">
        <is>
          <t>epic-2</t>
        </is>
      </c>
      <c r="C17" t="inlineStr">
        <is>
          <t>3 stories</t>
        </is>
      </c>
      <c r="D17" t="inlineStr">
        <is>
          <t>done</t>
        </is>
      </c>
      <c r="E17" s="24" t="n">
        <v>46251</v>
      </c>
      <c r="F17" s="24" t="n">
        <v>46269</v>
      </c>
      <c r="G17" t="n">
        <v>19</v>
      </c>
      <c r="H17" t="inlineStr">
        <is>
          <t>git</t>
        </is>
      </c>
    </row>
    <row r="18">
      <c r="A18" t="inlineStr">
        <is>
          <t>story</t>
        </is>
      </c>
      <c r="B18" t="inlineStr">
        <is>
          <t>2-1-review-queue</t>
        </is>
      </c>
      <c r="C18" t="inlineStr">
        <is>
          <t>epic-2</t>
        </is>
      </c>
      <c r="D18" t="inlineStr">
        <is>
          <t>done</t>
        </is>
      </c>
      <c r="E18" s="24" t="n">
        <v>46251</v>
      </c>
      <c r="F18" s="24" t="n">
        <v>46255</v>
      </c>
      <c r="G18" t="n">
        <v>5</v>
      </c>
      <c r="H18" t="inlineStr">
        <is>
          <t>git</t>
        </is>
      </c>
    </row>
    <row r="19">
      <c r="A19" t="inlineStr">
        <is>
          <t>story</t>
        </is>
      </c>
      <c r="B19" t="inlineStr">
        <is>
          <t>2-2-approve-or-reject</t>
        </is>
      </c>
      <c r="C19" t="inlineStr">
        <is>
          <t>epic-2</t>
        </is>
      </c>
      <c r="D19" t="inlineStr">
        <is>
          <t>done</t>
        </is>
      </c>
      <c r="E19" s="24" t="n">
        <v>46258</v>
      </c>
      <c r="F19" s="24" t="n">
        <v>46262</v>
      </c>
      <c r="G19" t="n">
        <v>5</v>
      </c>
      <c r="H19" t="inlineStr">
        <is>
          <t>git</t>
        </is>
      </c>
    </row>
    <row r="20">
      <c r="A20" t="inlineStr">
        <is>
          <t>story</t>
        </is>
      </c>
      <c r="B20" t="inlineStr">
        <is>
          <t>2-3-notify-customer</t>
        </is>
      </c>
      <c r="C20" t="inlineStr">
        <is>
          <t>epic-2</t>
        </is>
      </c>
      <c r="D20" t="inlineStr">
        <is>
          <t>done</t>
        </is>
      </c>
      <c r="E20" s="24" t="n">
        <v>46265</v>
      </c>
      <c r="F20" s="24" t="n">
        <v>46269</v>
      </c>
      <c r="G20" t="n">
        <v>5</v>
      </c>
      <c r="H20" t="inlineStr">
        <is>
          <t>git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A1" s="1" t="inlineStr">
        <is>
          <t>Sources, assumptions and gaps</t>
        </is>
      </c>
    </row>
    <row r="3">
      <c r="A3" s="2" t="inlineStr">
        <is>
          <t>Price basis</t>
        </is>
      </c>
    </row>
    <row r="4">
      <c r="B4" s="25" t="inlineStr">
        <is>
          <t>Azure Retail Prices API list prices (pay-as-you-go, no discounts), region uaenorth, USD, fetched 2026-09-28.</t>
        </is>
      </c>
    </row>
    <row r="5">
      <c r="B5" s="25" t="inlineStr">
        <is>
          <t>Rate card: Synthetic sample rates, not a real rate card, updated 2026-09-28.</t>
        </is>
      </c>
    </row>
    <row r="6">
      <c r="B6" s="25" t="inlineStr">
        <is>
          <t>Claude API list prices from https://platform.claude.com/docs/en/about-claude/pricing, read 2026-09-28, USD per million tokens. Claude Code on a subscription is billed per seat: this is the API-equivalent cost.</t>
        </is>
      </c>
    </row>
    <row r="8">
      <c r="A8" s="2" t="inlineStr">
        <is>
          <t>Gaps: not priced and not in any total</t>
        </is>
      </c>
    </row>
    <row r="9">
      <c r="B9" s="25" t="inlineStr">
        <is>
          <t>Disaster recovery: the spine does not say whether Prod has a second region.</t>
        </is>
      </c>
    </row>
    <row r="10">
      <c r="B10" s="25" t="inlineStr">
        <is>
          <t>Azure SQL backup retention beyond the default is not stated.</t>
        </is>
      </c>
    </row>
    <row r="12">
      <c r="A12" s="2" t="inlineStr">
        <is>
          <t>Assumptions and owner statements (not from the BMad artifacts)</t>
        </is>
      </c>
    </row>
    <row r="13">
      <c r="B13" s="25" t="inlineStr">
        <is>
          <t>Dev / Document storage: assumption: 50 GB of test documents</t>
        </is>
      </c>
    </row>
    <row r="14">
      <c r="B14" s="25" t="inlineStr">
        <is>
          <t>Test / Document storage: assumption: 50 GB of test documents</t>
        </is>
      </c>
    </row>
    <row r="15">
      <c r="B15" s="25" t="inlineStr">
        <is>
          <t>Team / Project Manager: owner: Delivery Manager, 2026-09-28</t>
        </is>
      </c>
    </row>
    <row r="16">
      <c r="B16" s="25" t="inlineStr">
        <is>
          <t>Team / Solution Architect: owner: Delivery Manager, 2026-09-28</t>
        </is>
      </c>
    </row>
    <row r="17">
      <c r="B17" s="25" t="inlineStr">
        <is>
          <t>Team / QA Engineer: owner: Delivery Manager, 2026-09-28</t>
        </is>
      </c>
    </row>
    <row r="18">
      <c r="B18" s="25" t="inlineStr">
        <is>
          <t>Other / Penetration test: owner: Security Lead, 2026-09-28</t>
        </is>
      </c>
    </row>
    <row r="19">
      <c r="B19" s="25" t="inlineStr">
        <is>
          <t>Other / GitHub Enterprise seats (12 months): assumption: 7 seats at list price</t>
        </is>
      </c>
    </row>
    <row r="21">
      <c r="A21" s="2" t="inlineStr">
        <is>
          <t>Stamp: built 2026-09-28T01:50:11; sha256 of each cited file</t>
        </is>
      </c>
    </row>
    <row r="22">
      <c r="B22" s="25" t="inlineStr">
        <is>
          <t>_bmad-output/planning-artifacts/architecture/falcon/ARCHITECTURE-SPINE.md  888bd47cdcac</t>
        </is>
      </c>
    </row>
    <row r="23">
      <c r="B23" s="25" t="inlineStr">
        <is>
          <t>_bmad-output/specs/SPEC.md  a9e8b1197d67</t>
        </is>
      </c>
    </row>
    <row r="24">
      <c r="B24" s="25" t="inlineStr">
        <is>
          <t>token_usage/claude_usage.csv  edc93724cf86</t>
        </is>
      </c>
    </row>
    <row r="25">
      <c r="B25" s="25" t="inlineStr">
        <is>
          <t>claude-prices.json  0dcde61aa110</t>
        </is>
      </c>
    </row>
    <row r="26">
      <c r="B26" s="25" t="inlineStr">
        <is>
          <t>token_usage/project_timeline.csv  4ea59cc7407f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2026-09-27T17:50:11Z</dcterms:created>
  <dcterms:modified xsi:type="dcterms:W3CDTF">2026-09-27T17:50:11Z</dcterms:modified>
</cp:coreProperties>
</file>